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sheet_Dashboard" sheetId="1" state="visible" r:id="rId1"/>
    <sheet xmlns:r="http://schemas.openxmlformats.org/officeDocument/2006/relationships" name="Inputs_Setpoints" sheetId="2" state="visible" r:id="rId2"/>
    <sheet xmlns:r="http://schemas.openxmlformats.org/officeDocument/2006/relationships" name="RawMeal_Clinker" sheetId="3" state="visible" r:id="rId3"/>
    <sheet xmlns:r="http://schemas.openxmlformats.org/officeDocument/2006/relationships" name="Fuels_Combustion" sheetId="4" state="visible" r:id="rId4"/>
    <sheet xmlns:r="http://schemas.openxmlformats.org/officeDocument/2006/relationships" name="Clinker_Cooler_Balance" sheetId="5" state="visible" r:id="rId5"/>
    <sheet xmlns:r="http://schemas.openxmlformats.org/officeDocument/2006/relationships" name="Preheater_Cyclones" sheetId="6" state="visible" r:id="rId6"/>
    <sheet xmlns:r="http://schemas.openxmlformats.org/officeDocument/2006/relationships" name="Precalciner_Balance" sheetId="7" state="visible" r:id="rId7"/>
    <sheet xmlns:r="http://schemas.openxmlformats.org/officeDocument/2006/relationships" name="Rotary_Kiln_Balance" sheetId="8" state="visible" r:id="rId8"/>
    <sheet xmlns:r="http://schemas.openxmlformats.org/officeDocument/2006/relationships" name="Master_Stream_Table" sheetId="9" state="visible" r:id="rId9"/>
    <sheet xmlns:r="http://schemas.openxmlformats.org/officeDocument/2006/relationships" name="Overall_Mass_Heat_Bal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0.000"/>
    <numFmt numFmtId="167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0E6ED"/>
      <sz val="9"/>
    </font>
    <font>
      <name val="Segoe UI"/>
      <b val="1"/>
      <color rgb="005C6B73"/>
      <sz val="9"/>
    </font>
    <font>
      <name val="Segoe UI"/>
      <b val="1"/>
      <color rgb="000D3B66"/>
      <sz val="14"/>
    </font>
    <font>
      <name val="Segoe UI"/>
      <i val="1"/>
      <color rgb="00555555"/>
      <sz val="9"/>
    </font>
    <font>
      <name val="Segoe UI"/>
      <b val="1"/>
      <color rgb="001B365D"/>
      <sz val="10"/>
    </font>
    <font>
      <name val="Consolas"/>
      <color rgb="001B365D"/>
      <sz val="9"/>
    </font>
    <font>
      <name val="Segoe UI"/>
      <b val="1"/>
      <color rgb="00FFFFFF"/>
      <sz val="10"/>
    </font>
    <font>
      <name val="Segoe UI"/>
      <b val="1"/>
      <color rgb="00FFFFFF"/>
      <sz val="11"/>
    </font>
    <font>
      <name val="Segoe U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3FA"/>
        <bgColor rgb="00EBF3FA"/>
      </patternFill>
    </fill>
    <fill>
      <patternFill patternType="solid">
        <fgColor rgb="00F4F7FA"/>
        <bgColor rgb="00F4F7FA"/>
      </patternFill>
    </fill>
    <fill>
      <patternFill patternType="solid">
        <fgColor rgb="002C5E8A"/>
        <bgColor rgb="002C5E8A"/>
      </patternFill>
    </fill>
    <fill>
      <patternFill patternType="solid">
        <fgColor rgb="00F2F6FA"/>
        <bgColor rgb="00F2F6FA"/>
      </patternFill>
    </fill>
    <fill>
      <patternFill patternType="solid">
        <fgColor rgb="00FFF9E6"/>
        <bgColor rgb="00FFF9E6"/>
      </patternFill>
    </fill>
    <fill>
      <patternFill patternType="solid">
        <fgColor rgb="00DCE6F1"/>
        <bgColor rgb="00DCE6F1"/>
      </patternFill>
    </fill>
    <fill>
      <patternFill patternType="solid">
        <fgColor rgb="00E2F0D9"/>
        <bgColor rgb="00E2F0D9"/>
      </patternFill>
    </fill>
  </fills>
  <borders count="5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 style="thin">
        <color rgb="00B0C4DE"/>
      </left>
      <right style="thin">
        <color rgb="00B0C4DE"/>
      </right>
      <top style="medium">
        <color rgb="001B365D"/>
      </top>
      <bottom style="medium">
        <color rgb="001B365D"/>
      </bottom>
    </border>
    <border>
      <left style="medium">
        <color rgb="00D4AC0D"/>
      </left>
      <right style="medium">
        <color rgb="00D4AC0D"/>
      </right>
      <top style="medium">
        <color rgb="00D4AC0D"/>
      </top>
      <bottom style="medium">
        <color rgb="00D4AC0D"/>
      </bottom>
    </border>
    <border>
      <left style="thin">
        <color rgb="00B0C4DE"/>
      </left>
      <right style="thin">
        <color rgb="00B0C4DE"/>
      </right>
      <top style="thin">
        <color rgb="00B0C4DE"/>
      </top>
      <bottom style="double">
        <color rgb="001B365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0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6" fillId="6" borderId="1" pivotButton="0" quotePrefix="0" xfId="0"/>
    <xf numFmtId="2" fontId="0" fillId="6" borderId="1" pivotButton="0" quotePrefix="0" xfId="0"/>
    <xf numFmtId="10" fontId="0" fillId="6" borderId="1" pivotButton="0" quotePrefix="0" xfId="0"/>
    <xf numFmtId="0" fontId="9" fillId="2" borderId="0" pivotButton="0" quotePrefix="0" xfId="0"/>
    <xf numFmtId="0" fontId="6" fillId="0" borderId="1" pivotButton="0" quotePrefix="0" xfId="0"/>
    <xf numFmtId="2" fontId="6" fillId="7" borderId="3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0" borderId="1" pivotButton="0" quotePrefix="0" xfId="0"/>
    <xf numFmtId="10" fontId="6" fillId="7" borderId="3" applyAlignment="1" pivotButton="0" quotePrefix="0" xfId="0">
      <alignment horizontal="right" vertical="center"/>
    </xf>
    <xf numFmtId="166" fontId="6" fillId="7" borderId="3" applyAlignment="1" pivotButton="0" quotePrefix="0" xfId="0">
      <alignment horizontal="right" vertical="center"/>
    </xf>
    <xf numFmtId="164" fontId="6" fillId="7" borderId="3" applyAlignment="1" pivotButton="0" quotePrefix="0" xfId="0">
      <alignment horizontal="right" vertical="center"/>
    </xf>
    <xf numFmtId="2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10" fillId="0" borderId="1" pivotButton="0" quotePrefix="0" xfId="0"/>
    <xf numFmtId="10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6" fillId="8" borderId="4" pivotButton="0" quotePrefix="0" xfId="0"/>
    <xf numFmtId="10" fontId="6" fillId="8" borderId="4" applyAlignment="1" pivotButton="0" quotePrefix="0" xfId="0">
      <alignment horizontal="right" vertical="center"/>
    </xf>
    <xf numFmtId="2" fontId="6" fillId="8" borderId="4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6" fillId="0" borderId="1" pivotButton="0" quotePrefix="0" xfId="0"/>
    <xf numFmtId="2" fontId="6" fillId="6" borderId="1" pivotButton="0" quotePrefix="0" xfId="0"/>
    <xf numFmtId="2" fontId="6" fillId="8" borderId="4" pivotButton="0" quotePrefix="0" xfId="0"/>
    <xf numFmtId="0" fontId="10" fillId="0" borderId="0" pivotButton="0" quotePrefix="0" xfId="0"/>
    <xf numFmtId="2" fontId="6" fillId="0" borderId="0" pivotButton="0" quotePrefix="0" xfId="0"/>
    <xf numFmtId="49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3" fontId="6" fillId="8" borderId="4" pivotButton="0" quotePrefix="0" xfId="0"/>
    <xf numFmtId="2" fontId="6" fillId="0" borderId="1" applyAlignment="1" pivotButton="0" quotePrefix="0" xfId="0">
      <alignment horizontal="right" vertical="center"/>
    </xf>
    <xf numFmtId="0" fontId="6" fillId="9" borderId="1" pivotButton="0" quotePrefix="0" xfId="0"/>
    <xf numFmtId="10" fontId="6" fillId="9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7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09" customWidth="1" min="2" max="2"/>
    <col width="15" customWidth="1" min="3" max="3"/>
    <col width="21" customWidth="1" min="4" max="4"/>
    <col width="21" customWidth="1" min="5" max="5"/>
    <col width="18" customWidth="1" min="6" max="6"/>
    <col width="15" customWidth="1" min="7" max="7"/>
    <col width="20" customWidth="1" min="8" max="8"/>
    <col width="12" customWidth="1" min="9" max="9"/>
    <col width="21" customWidth="1" min="10" max="10"/>
    <col width="12" customWidth="1" min="11" max="11"/>
  </cols>
  <sheetData>
    <row r="1" ht="26" customHeight="1">
      <c r="A1" s="1" t="inlineStr">
        <is>
          <t>CEMENT PYROPROCESSING STEADY-STATE FLOWSHEET SIMULATION</t>
        </is>
      </c>
    </row>
    <row r="2" ht="18" customHeight="1">
      <c r="A2" s="2" t="inlineStr">
        <is>
          <t>Kiln 3 / Forno 3 Engineering Baseline (Dual-String 4-Stage Preheater, Precalciner, Rotary Kiln, Grate Cooler)</t>
        </is>
      </c>
    </row>
    <row r="3"/>
    <row r="4">
      <c r="B4" s="3" t="inlineStr">
        <is>
          <t>RAW MEAL FEED</t>
        </is>
      </c>
      <c r="C4" s="4" t="n"/>
      <c r="D4" s="3" t="inlineStr">
        <is>
          <t>CLINKER PRODUCTION</t>
        </is>
      </c>
      <c r="E4" s="4" t="n"/>
      <c r="F4" s="3" t="inlineStr">
        <is>
          <t>SPECIFIC HEAT</t>
        </is>
      </c>
      <c r="G4" s="4" t="n"/>
      <c r="H4" s="3" t="inlineStr">
        <is>
          <t>THERMAL POWER</t>
        </is>
      </c>
      <c r="I4" s="4" t="n"/>
      <c r="J4" s="3" t="inlineStr">
        <is>
          <t>ALT. FUEL SUBST.</t>
        </is>
      </c>
      <c r="K4" s="4" t="n"/>
    </row>
    <row r="5">
      <c r="B5" s="5">
        <f>Inputs_Setpoints!C6</f>
        <v/>
      </c>
      <c r="C5" s="4" t="n"/>
      <c r="D5" s="5">
        <f>Inputs_Setpoints!C25</f>
        <v/>
      </c>
      <c r="E5" s="4" t="n"/>
      <c r="F5" s="6">
        <f>Inputs_Setpoints!C10</f>
        <v/>
      </c>
      <c r="G5" s="4" t="n"/>
      <c r="H5" s="5">
        <f>Inputs_Setpoints!C29</f>
        <v/>
      </c>
      <c r="I5" s="4" t="n"/>
      <c r="J5" s="7">
        <f>Inputs_Setpoints!C12</f>
        <v/>
      </c>
      <c r="K5" s="4" t="n"/>
    </row>
    <row r="6">
      <c r="B6" s="8" t="inlineStr">
        <is>
          <t>t/h (Dry Feed)</t>
        </is>
      </c>
      <c r="C6" s="4" t="n"/>
      <c r="D6" s="8" t="inlineStr">
        <is>
          <t>t/h (4,200 tpd)</t>
        </is>
      </c>
      <c r="E6" s="4" t="n"/>
      <c r="F6" s="8" t="inlineStr">
        <is>
          <t>kcal/kg clinker</t>
        </is>
      </c>
      <c r="G6" s="4" t="n"/>
      <c r="H6" s="8" t="inlineStr">
        <is>
          <t>MWth (Total Fuel)</t>
        </is>
      </c>
      <c r="I6" s="4" t="n"/>
      <c r="J6" s="8" t="inlineStr">
        <is>
          <t>% CDR Substitution</t>
        </is>
      </c>
      <c r="K6" s="4" t="n"/>
    </row>
    <row r="7"/>
    <row r="8">
      <c r="B8" s="9" t="inlineStr">
        <is>
          <t>PROCESS FLOW DIAGRAM &amp; KEY STREAM ANNOTATIONS</t>
        </is>
      </c>
    </row>
    <row r="9"/>
    <row r="10" ht="15" customHeight="1">
      <c r="B10" s="10" t="inlineStr">
        <is>
          <t xml:space="preserve">                     [RAW MEAL FEED: =Inputs_Setpoints!C6 t/h]</t>
        </is>
      </c>
    </row>
    <row r="11" ht="15" customHeight="1">
      <c r="B11" s="10" t="inlineStr">
        <is>
          <t xml:space="preserve">                                  |          |</t>
        </is>
      </c>
    </row>
    <row r="12" ht="15" customHeight="1">
      <c r="B12" s="10" t="inlineStr">
        <is>
          <t xml:space="preserve">                         50% (140 t/h)      50% (140 t/h)</t>
        </is>
      </c>
    </row>
    <row r="13" ht="15" customHeight="1">
      <c r="B13" s="10" t="inlineStr">
        <is>
          <t xml:space="preserve">                                  v          v</t>
        </is>
      </c>
    </row>
    <row r="14" ht="15" customHeight="1">
      <c r="B14" s="10" t="inlineStr">
        <is>
          <t xml:space="preserve">                         +------------+  +------------+</t>
        </is>
      </c>
    </row>
    <row r="15" ht="15" customHeight="1">
      <c r="B15" s="10" t="inlineStr">
        <is>
          <t xml:space="preserve">                         | STRING N   |  | STRING P   |  &lt;--- Gas Exit: 413 °C, -56 mbar (K3T16/K3P02)</t>
        </is>
      </c>
    </row>
    <row r="16" ht="15" customHeight="1">
      <c r="B16" s="10" t="inlineStr">
        <is>
          <t xml:space="preserve">                         | Cycl. 1N   |  | Cycl. 1P   |       Top Flue Gas Flow: 291,500 Nm3/h (385.2 t/h)</t>
        </is>
      </c>
    </row>
    <row r="17" ht="15" customHeight="1">
      <c r="B17" s="10" t="inlineStr">
        <is>
          <t xml:space="preserve">                         +------------+  +------------+</t>
        </is>
      </c>
    </row>
    <row r="18" ht="15" customHeight="1">
      <c r="B18" s="10" t="inlineStr">
        <is>
          <t xml:space="preserve">                               |               |</t>
        </is>
      </c>
    </row>
    <row r="19" ht="15" customHeight="1">
      <c r="B19" s="10" t="inlineStr">
        <is>
          <t xml:space="preserve">                         +------------+  +------------+</t>
        </is>
      </c>
    </row>
    <row r="20" ht="15" customHeight="1">
      <c r="B20" s="10" t="inlineStr">
        <is>
          <t xml:space="preserve">                         | Cycl. 2N   |  | Cycl. 2P   |  &lt;--- Gas: 608 - 637 °C</t>
        </is>
      </c>
    </row>
    <row r="21" ht="15" customHeight="1">
      <c r="B21" s="10" t="inlineStr">
        <is>
          <t xml:space="preserve">                         +------------+  +------------+</t>
        </is>
      </c>
    </row>
    <row r="22" ht="15" customHeight="1">
      <c r="B22" s="10" t="inlineStr">
        <is>
          <t xml:space="preserve">                               \              /</t>
        </is>
      </c>
    </row>
    <row r="23" ht="15" customHeight="1">
      <c r="B23" s="10" t="inlineStr">
        <is>
          <t xml:space="preserve">                                v            v</t>
        </is>
      </c>
    </row>
    <row r="24" ht="15" customHeight="1">
      <c r="B24" s="10" t="inlineStr">
        <is>
          <t xml:space="preserve">                         +----------------------------+</t>
        </is>
      </c>
    </row>
    <row r="25" ht="15" customHeight="1">
      <c r="B25" s="10" t="inlineStr">
        <is>
          <t xml:space="preserve">                         |   CYCLONE STAGE 3          |  &lt;--- Gas: 762 °C (K3T52)</t>
        </is>
      </c>
    </row>
    <row r="26" ht="15" customHeight="1">
      <c r="B26" s="10" t="inlineStr">
        <is>
          <t xml:space="preserve">                         +----------------------------+</t>
        </is>
      </c>
    </row>
    <row r="27" ht="15" customHeight="1">
      <c r="B27" s="10" t="inlineStr">
        <is>
          <t xml:space="preserve">                               /              \</t>
        </is>
      </c>
    </row>
    <row r="28" ht="15" customHeight="1">
      <c r="B28" s="10" t="inlineStr">
        <is>
          <t xml:space="preserve">                           40% /              \ 60%</t>
        </is>
      </c>
    </row>
    <row r="29" ht="15" customHeight="1">
      <c r="B29" s="10" t="inlineStr">
        <is>
          <t xml:space="preserve">                              v                v</t>
        </is>
      </c>
    </row>
    <row r="30" ht="15" customHeight="1">
      <c r="B30" s="10" t="inlineStr">
        <is>
          <t xml:space="preserve">                         +------------+  +------------+</t>
        </is>
      </c>
    </row>
    <row r="31" ht="15" customHeight="1">
      <c r="B31" s="10" t="inlineStr">
        <is>
          <t xml:space="preserve">                         | Cycl. 4N   |  | Cycl. 4P   |</t>
        </is>
      </c>
    </row>
    <row r="32" ht="15" customHeight="1">
      <c r="B32" s="10" t="inlineStr">
        <is>
          <t xml:space="preserve">                         +------------+  +------------+</t>
        </is>
      </c>
    </row>
    <row r="33" ht="15" customHeight="1">
      <c r="B33" s="10" t="inlineStr">
        <is>
          <t xml:space="preserve">                              |                |</t>
        </is>
      </c>
    </row>
    <row r="34" ht="15" customHeight="1">
      <c r="B34" s="10" t="inlineStr">
        <is>
          <t xml:space="preserve">                              | Precalcined    | Precalcined</t>
        </is>
      </c>
    </row>
    <row r="35" ht="15" customHeight="1">
      <c r="B35" s="10" t="inlineStr">
        <is>
          <t xml:space="preserve">                              v Meal           v Meal</t>
        </is>
      </c>
    </row>
    <row r="36" ht="15" customHeight="1">
      <c r="B36" s="10" t="inlineStr">
        <is>
          <t xml:space="preserve">  +-------------------------------------------------------------------------------+</t>
        </is>
      </c>
    </row>
    <row r="37" ht="15" customHeight="1">
      <c r="B37" s="10" t="inlineStr">
        <is>
          <t xml:space="preserve">  | PRECALCINER &amp; MIXING CHAMBER (PC)                                             |</t>
        </is>
      </c>
    </row>
    <row r="38" ht="15" customHeight="1">
      <c r="B38" s="10" t="inlineStr">
        <is>
          <t xml:space="preserve">  |  - Fuel Thermal Input: 307.4 GJ/h (85.4 MWth) [54.1% Plant Thermal Split]     |</t>
        </is>
      </c>
    </row>
    <row r="39" ht="15" customHeight="1">
      <c r="B39" s="10" t="inlineStr">
        <is>
          <t xml:space="preserve">  |  - Fuels Fired: Petcoke 3.68 t/h + CDR / RDF 10.66 t/h                        |</t>
        </is>
      </c>
    </row>
    <row r="40" ht="15" customHeight="1">
      <c r="B40" s="10" t="inlineStr">
        <is>
          <t xml:space="preserve">  |  - Tertiary Air: 105,000 Nm3/h (135.8 t/h) @ 862 °C (K3T60)                   |</t>
        </is>
      </c>
    </row>
    <row r="41" ht="15" customHeight="1">
      <c r="B41" s="10" t="inlineStr">
        <is>
          <t xml:space="preserve">  |  - Decarbonation Degree: 92.5% @ 907 °C (K3T62A)                              |</t>
        </is>
      </c>
    </row>
    <row r="42" ht="15" customHeight="1">
      <c r="B42" s="10" t="inlineStr">
        <is>
          <t xml:space="preserve">  +-------------------------------------------------------------------------------+</t>
        </is>
      </c>
    </row>
    <row r="43" ht="15" customHeight="1">
      <c r="B43" s="10" t="inlineStr">
        <is>
          <t xml:space="preserve">                              | Precalcined Meal (182.4 t/h @ 880-907 °C)</t>
        </is>
      </c>
    </row>
    <row r="44" ht="15" customHeight="1">
      <c r="B44" s="10" t="inlineStr">
        <is>
          <t xml:space="preserve">                              v</t>
        </is>
      </c>
    </row>
    <row r="45" ht="15" customHeight="1">
      <c r="B45" s="10" t="inlineStr">
        <is>
          <t xml:space="preserve">  +-------------------------------------------------------------------------------+</t>
        </is>
      </c>
    </row>
    <row r="46" ht="15" customHeight="1">
      <c r="B46" s="10" t="inlineStr">
        <is>
          <t xml:space="preserve">  | ROTARY KILN (FORNO ROTATIVO - 4.8m Outer Dia x 70m Length)                     |</t>
        </is>
      </c>
    </row>
    <row r="47" ht="15" customHeight="1">
      <c r="B47" s="10" t="inlineStr">
        <is>
          <t xml:space="preserve">  |  - Kiln Speed: 3.79 rpm (L3S01), Current: 254 A (L3I01), Filling: 10.96%      |</t>
        </is>
      </c>
    </row>
    <row r="48" ht="15" customHeight="1">
      <c r="B48" s="10" t="inlineStr">
        <is>
          <t xml:space="preserve">  |  - Main Burner Heat: 260.8 GJ/h (72.5 MWth) [45.9% Plant Thermal Split]       |</t>
        </is>
      </c>
    </row>
    <row r="49" ht="15" customHeight="1">
      <c r="B49" s="10" t="inlineStr">
        <is>
          <t xml:space="preserve">  |  - Secondary Air: 78,000 Nm3/h (100.9 t/h) @ 1000 °C (L3T305)                 |</t>
        </is>
      </c>
    </row>
    <row r="50" ht="15" customHeight="1">
      <c r="B50" s="10" t="inlineStr">
        <is>
          <t xml:space="preserve">  |  - Sintering Bed: 1450 °C (TERMO), Kiln Exit Flue Gas: 1050 °C                |</t>
        </is>
      </c>
    </row>
    <row r="51" ht="15" customHeight="1">
      <c r="B51" s="10" t="inlineStr">
        <is>
          <t xml:space="preserve">  |  - Clinker Free Lime (CaO_free): 1.30 wt% (Cal Livre)                         |</t>
        </is>
      </c>
    </row>
    <row r="52" ht="15" customHeight="1">
      <c r="B52" s="10" t="inlineStr">
        <is>
          <t xml:space="preserve">  +-------------------------------------------------------------------------------+</t>
        </is>
      </c>
    </row>
    <row r="53" ht="15" customHeight="1">
      <c r="B53" s="10" t="inlineStr">
        <is>
          <t xml:space="preserve">                              | Molten Clinker @ 1450 °C (175.0 t/h)</t>
        </is>
      </c>
    </row>
    <row r="54" ht="15" customHeight="1">
      <c r="B54" s="10" t="inlineStr">
        <is>
          <t xml:space="preserve">                              v</t>
        </is>
      </c>
    </row>
    <row r="55" ht="15" customHeight="1">
      <c r="B55" s="10" t="inlineStr">
        <is>
          <t xml:space="preserve">  +-------------------------------------------------------------------------------+</t>
        </is>
      </c>
    </row>
    <row r="56" ht="15" customHeight="1">
      <c r="B56" s="10" t="inlineStr">
        <is>
          <t xml:space="preserve">  | CLINKER GRATE COOLER (ARREFECEDOR DE GRELHA)                                  |</t>
        </is>
      </c>
    </row>
    <row r="57" ht="15" customHeight="1">
      <c r="B57" s="10" t="inlineStr">
        <is>
          <t xml:space="preserve">  |  - Clinker Production Rate: 175.0 t/h (4,200 tpd)                             |</t>
        </is>
      </c>
    </row>
    <row r="58" ht="15" customHeight="1">
      <c r="B58" s="10" t="inlineStr">
        <is>
          <t xml:space="preserve">  |  - Total Cooling Air Inflow: 330,000 Nm3/h (426.7 t/h) @ 25 °C                |</t>
        </is>
      </c>
    </row>
    <row r="59" ht="15" customHeight="1">
      <c r="B59" s="10" t="inlineStr">
        <is>
          <t xml:space="preserve">  |  - Secondary Air to Kiln: 78,000 Nm3/h @ 1000 °C (Heat Recup: 106.9 GJ/h)     |</t>
        </is>
      </c>
    </row>
    <row r="60" ht="15" customHeight="1">
      <c r="B60" s="10" t="inlineStr">
        <is>
          <t xml:space="preserve">  |  - Tertiary Air to PC: 105,000 Nm3/h @ 862 °C (Heat Recup: 122.9 GJ/h)       |</t>
        </is>
      </c>
    </row>
    <row r="61" ht="15" customHeight="1">
      <c r="B61" s="10" t="inlineStr">
        <is>
          <t xml:space="preserve">  |  - Cooler Vent Air to Dedusting Filter: 147,000 Nm3/h @ 258 °C (51.8 GJ/h)    |</t>
        </is>
      </c>
    </row>
    <row r="62" ht="15" customHeight="1">
      <c r="B62" s="10" t="inlineStr">
        <is>
          <t xml:space="preserve">  |  - Cooled Clinker Discharge: 175.0 t/h @ 90 °C                                |</t>
        </is>
      </c>
    </row>
    <row r="63" ht="15" customHeight="1">
      <c r="B63" s="10" t="inlineStr">
        <is>
          <t xml:space="preserve">  |  - Thermal Recuperation Efficiency: 77.38%                                    |</t>
        </is>
      </c>
    </row>
    <row r="64" ht="15" customHeight="1">
      <c r="B64" s="10" t="inlineStr">
        <is>
          <t xml:space="preserve">  +-------------------------------------------------------------------------------+</t>
        </is>
      </c>
    </row>
    <row r="65"/>
    <row r="66"/>
    <row r="67">
      <c r="B67" s="9" t="inlineStr">
        <is>
          <t>BATTERY LIMIT OVERALL BALANCE AUDIT</t>
        </is>
      </c>
    </row>
    <row r="68">
      <c r="B68" s="11" t="inlineStr">
        <is>
          <t>Balance Dimension</t>
        </is>
      </c>
      <c r="C68" s="11" t="inlineStr">
        <is>
          <t>Total Inflow</t>
        </is>
      </c>
      <c r="D68" s="11" t="inlineStr">
        <is>
          <t>Total Outflow</t>
        </is>
      </c>
      <c r="E68" s="11" t="inlineStr">
        <is>
          <t>Difference (Delta)</t>
        </is>
      </c>
      <c r="F68" s="11" t="inlineStr">
        <is>
          <t>Closure Error %</t>
        </is>
      </c>
      <c r="G68" s="11" t="inlineStr">
        <is>
          <t>Audit Status</t>
        </is>
      </c>
    </row>
    <row r="69">
      <c r="B69" s="12" t="inlineStr">
        <is>
          <t>Total Plant Mass (t/h)</t>
        </is>
      </c>
      <c r="C69" s="13">
        <f>Overall_Mass_Heat_Balance!D13</f>
        <v/>
      </c>
      <c r="D69" s="13">
        <f>Overall_Mass_Heat_Balance!G13</f>
        <v/>
      </c>
      <c r="E69" s="13">
        <f>C69-D69</f>
        <v/>
      </c>
      <c r="F69" s="14">
        <f>ABS(E69)/C69</f>
        <v/>
      </c>
      <c r="G69" s="12">
        <f>IF(F69&lt;0.02,"PASSED (EXCELLENT)","CHECK I/O")</f>
        <v/>
      </c>
    </row>
    <row r="70">
      <c r="B70" s="12" t="inlineStr">
        <is>
          <t>Total Plant Energy (GJ/h)</t>
        </is>
      </c>
      <c r="C70" s="13">
        <f>Overall_Mass_Heat_Balance!C25</f>
        <v/>
      </c>
      <c r="D70" s="13">
        <f>Overall_Mass_Heat_Balance!F25</f>
        <v/>
      </c>
      <c r="E70" s="13">
        <f>C70-D70</f>
        <v/>
      </c>
      <c r="F70" s="14">
        <f>ABS(E70)/C70</f>
        <v/>
      </c>
      <c r="G70" s="12">
        <f>IF(F70&lt;0.01,"PASSED (CONSERVED)","CHECK LOSSES")</f>
        <v/>
      </c>
    </row>
  </sheetData>
  <mergeCells count="72">
    <mergeCell ref="F4:G4"/>
    <mergeCell ref="B49:K49"/>
    <mergeCell ref="J5:K5"/>
    <mergeCell ref="B40:K40"/>
    <mergeCell ref="B30:K30"/>
    <mergeCell ref="B15:K15"/>
    <mergeCell ref="F6:G6"/>
    <mergeCell ref="B55:K55"/>
    <mergeCell ref="H4:I4"/>
    <mergeCell ref="B24:K24"/>
    <mergeCell ref="B20:K20"/>
    <mergeCell ref="B51:K51"/>
    <mergeCell ref="B33:K33"/>
    <mergeCell ref="A1:K1"/>
    <mergeCell ref="B58:K58"/>
    <mergeCell ref="B64:K64"/>
    <mergeCell ref="B36:K36"/>
    <mergeCell ref="D6:E6"/>
    <mergeCell ref="B45:K45"/>
    <mergeCell ref="B63:K63"/>
    <mergeCell ref="B41:K41"/>
    <mergeCell ref="H6:I6"/>
    <mergeCell ref="B32:K32"/>
    <mergeCell ref="B50:K50"/>
    <mergeCell ref="J6:K6"/>
    <mergeCell ref="B26:K26"/>
    <mergeCell ref="F5:G5"/>
    <mergeCell ref="B35:K35"/>
    <mergeCell ref="B25:K25"/>
    <mergeCell ref="B47:K47"/>
    <mergeCell ref="B16:K16"/>
    <mergeCell ref="B54:K54"/>
    <mergeCell ref="B62:K62"/>
    <mergeCell ref="B59:K59"/>
    <mergeCell ref="B31:K31"/>
    <mergeCell ref="J4:K4"/>
    <mergeCell ref="B46:K46"/>
    <mergeCell ref="B22:K22"/>
    <mergeCell ref="B18:K18"/>
    <mergeCell ref="B27:K27"/>
    <mergeCell ref="B56:K56"/>
    <mergeCell ref="B52:K52"/>
    <mergeCell ref="B21:K21"/>
    <mergeCell ref="A2:K2"/>
    <mergeCell ref="B43:K43"/>
    <mergeCell ref="B12:K12"/>
    <mergeCell ref="B39:K39"/>
    <mergeCell ref="D4:E4"/>
    <mergeCell ref="B48:K48"/>
    <mergeCell ref="B11:K11"/>
    <mergeCell ref="B42:K42"/>
    <mergeCell ref="B60:K60"/>
    <mergeCell ref="B6:C6"/>
    <mergeCell ref="B23:K23"/>
    <mergeCell ref="B61:K61"/>
    <mergeCell ref="B57:K57"/>
    <mergeCell ref="B14:K14"/>
    <mergeCell ref="B17:K17"/>
    <mergeCell ref="B5:C5"/>
    <mergeCell ref="B13:K13"/>
    <mergeCell ref="D5:E5"/>
    <mergeCell ref="B44:K44"/>
    <mergeCell ref="B53:K53"/>
    <mergeCell ref="B29:K29"/>
    <mergeCell ref="H5:I5"/>
    <mergeCell ref="B38:K38"/>
    <mergeCell ref="B34:K34"/>
    <mergeCell ref="B10:K10"/>
    <mergeCell ref="B28:K28"/>
    <mergeCell ref="B4:C4"/>
    <mergeCell ref="B19:K19"/>
    <mergeCell ref="B37:K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5" customWidth="1" min="3" max="3"/>
    <col width="19" customWidth="1" min="4" max="4"/>
    <col width="6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PLANT OPERATING INPUTS, SETPOINTS &amp; DERIVED KPIS</t>
        </is>
      </c>
    </row>
    <row r="2" ht="18" customHeight="1">
      <c r="A2" s="2" t="inlineStr">
        <is>
          <t>Nominal Base Case: 280.0 t/h Raw Meal (Yellow cells are user-adjustable simulation inputs)</t>
        </is>
      </c>
    </row>
    <row r="3"/>
    <row r="4">
      <c r="B4" s="15" t="inlineStr">
        <is>
          <t>1. PROCESS FEED &amp; OPERATIONAL SETPOINTS (USER INPUTS)</t>
        </is>
      </c>
    </row>
    <row r="5">
      <c r="B5" s="11" t="inlineStr">
        <is>
          <t>Parameter Description</t>
        </is>
      </c>
      <c r="C5" s="11" t="inlineStr">
        <is>
          <t>Setpoint / Input Value</t>
        </is>
      </c>
      <c r="D5" s="11" t="inlineStr">
        <is>
          <t>Engineering Unit</t>
        </is>
      </c>
      <c r="E5" s="11" t="inlineStr">
        <is>
          <t>Process Details &amp; Instrumentation</t>
        </is>
      </c>
      <c r="F5" s="11" t="inlineStr">
        <is>
          <t>Cell Ref</t>
        </is>
      </c>
    </row>
    <row r="6">
      <c r="B6" s="16" t="inlineStr">
        <is>
          <t>Raw Meal Feed Rate (Dry Basis)</t>
        </is>
      </c>
      <c r="C6" s="17" t="n">
        <v>280</v>
      </c>
      <c r="D6" s="18" t="inlineStr">
        <is>
          <t>t/h</t>
        </is>
      </c>
      <c r="E6" s="19" t="inlineStr">
        <is>
          <t>Mass flow of dry meal fed to elevator (K3F07)</t>
        </is>
      </c>
      <c r="F6" s="20" t="inlineStr">
        <is>
          <t>C6</t>
        </is>
      </c>
    </row>
    <row r="7">
      <c r="B7" s="16" t="inlineStr">
        <is>
          <t>Raw Meal Moisture Content</t>
        </is>
      </c>
      <c r="C7" s="21" t="n">
        <v>0.005</v>
      </c>
      <c r="D7" s="18" t="inlineStr">
        <is>
          <t>% wt</t>
        </is>
      </c>
      <c r="E7" s="19" t="inlineStr">
        <is>
          <t>Moisture in raw meal before preheater (0.5%)</t>
        </is>
      </c>
      <c r="F7" s="20" t="inlineStr">
        <is>
          <t>C7</t>
        </is>
      </c>
    </row>
    <row r="8">
      <c r="B8" s="16" t="inlineStr">
        <is>
          <t>Raw Meal Loss on Ignition (LOI)</t>
        </is>
      </c>
      <c r="C8" s="21" t="n">
        <v>0.3533</v>
      </c>
      <c r="D8" s="18" t="inlineStr">
        <is>
          <t>% wt</t>
        </is>
      </c>
      <c r="E8" s="19" t="inlineStr">
        <is>
          <t>Total carbonate decarbonation gasification (35.33%)</t>
        </is>
      </c>
      <c r="F8" s="20" t="inlineStr">
        <is>
          <t>C8</t>
        </is>
      </c>
    </row>
    <row r="9">
      <c r="B9" s="16" t="inlineStr">
        <is>
          <t>Meal-to-Clinker Factor</t>
        </is>
      </c>
      <c r="C9" s="22" t="n">
        <v>1.6</v>
      </c>
      <c r="D9" s="18" t="inlineStr">
        <is>
          <t>kg/kg</t>
        </is>
      </c>
      <c r="E9" s="19" t="inlineStr">
        <is>
          <t>Ratio of raw meal required per kg clinker</t>
        </is>
      </c>
      <c r="F9" s="20" t="inlineStr">
        <is>
          <t>C9</t>
        </is>
      </c>
    </row>
    <row r="10">
      <c r="B10" s="16" t="inlineStr">
        <is>
          <t>Target Specific Heat Consumption</t>
        </is>
      </c>
      <c r="C10" s="23" t="n">
        <v>775.6</v>
      </c>
      <c r="D10" s="18" t="inlineStr">
        <is>
          <t>kcal/kg</t>
        </is>
      </c>
      <c r="E10" s="19" t="inlineStr">
        <is>
          <t>Specific thermal consumption per kg clinker</t>
        </is>
      </c>
      <c r="F10" s="20" t="inlineStr">
        <is>
          <t>C10</t>
        </is>
      </c>
    </row>
    <row r="11">
      <c r="B11" s="16" t="inlineStr">
        <is>
          <t>Precalciner Thermal Split</t>
        </is>
      </c>
      <c r="C11" s="21" t="n">
        <v>0.541</v>
      </c>
      <c r="D11" s="18" t="inlineStr">
        <is>
          <t>%</t>
        </is>
      </c>
      <c r="E11" s="19" t="inlineStr">
        <is>
          <t>Fraction of fuel energy delivered to Precalciner (54.1%)</t>
        </is>
      </c>
      <c r="F11" s="20" t="inlineStr">
        <is>
          <t>C11</t>
        </is>
      </c>
    </row>
    <row r="12">
      <c r="B12" s="16" t="inlineStr">
        <is>
          <t>Alternative Fuel (CDR) Substitution Rate</t>
        </is>
      </c>
      <c r="C12" s="21" t="n">
        <v>0.415</v>
      </c>
      <c r="D12" s="18" t="inlineStr">
        <is>
          <t>%</t>
        </is>
      </c>
      <c r="E12" s="19" t="inlineStr">
        <is>
          <t>Thermal substitution of CDR in total fuel (%ST = 41.5%)</t>
        </is>
      </c>
      <c r="F12" s="20" t="inlineStr">
        <is>
          <t>C12</t>
        </is>
      </c>
    </row>
    <row r="13">
      <c r="B13" s="16" t="inlineStr">
        <is>
          <t>Precalciner Decarbonation Degree</t>
        </is>
      </c>
      <c r="C13" s="21" t="n">
        <v>0.925</v>
      </c>
      <c r="D13" s="18" t="inlineStr">
        <is>
          <t>%</t>
        </is>
      </c>
      <c r="E13" s="19" t="inlineStr">
        <is>
          <t>Fraction of CaCO3 decomposed in Precalciner (92.5%)</t>
        </is>
      </c>
      <c r="F13" s="20" t="inlineStr">
        <is>
          <t>C13</t>
        </is>
      </c>
    </row>
    <row r="14">
      <c r="B14" s="16" t="inlineStr">
        <is>
          <t>Clinker Cooler Discharge Temp</t>
        </is>
      </c>
      <c r="C14" s="23" t="n">
        <v>90</v>
      </c>
      <c r="D14" s="18" t="inlineStr">
        <is>
          <t>°C</t>
        </is>
      </c>
      <c r="E14" s="19" t="inlineStr">
        <is>
          <t>Temperature of cooled clinker sent to transport silo</t>
        </is>
      </c>
      <c r="F14" s="20" t="inlineStr">
        <is>
          <t>C14</t>
        </is>
      </c>
    </row>
    <row r="15">
      <c r="B15" s="16" t="inlineStr">
        <is>
          <t>Kiln Sintering Bed Temperature</t>
        </is>
      </c>
      <c r="C15" s="23" t="n">
        <v>1450</v>
      </c>
      <c r="D15" s="18" t="inlineStr">
        <is>
          <t>°C</t>
        </is>
      </c>
      <c r="E15" s="19" t="inlineStr">
        <is>
          <t>Burning zone bed temperature pyrometer (TERMO)</t>
        </is>
      </c>
      <c r="F15" s="20" t="inlineStr">
        <is>
          <t>C15</t>
        </is>
      </c>
    </row>
    <row r="16">
      <c r="B16" s="16" t="inlineStr">
        <is>
          <t>Kiln Inlet Flue Gas Temperature</t>
        </is>
      </c>
      <c r="C16" s="23" t="n">
        <v>1050</v>
      </c>
      <c r="D16" s="18" t="inlineStr">
        <is>
          <t>°C</t>
        </is>
      </c>
      <c r="E16" s="19" t="inlineStr">
        <is>
          <t>Kiln back-end smoke chamber gas temperature</t>
        </is>
      </c>
      <c r="F16" s="20" t="inlineStr">
        <is>
          <t>C16</t>
        </is>
      </c>
    </row>
    <row r="17">
      <c r="B17" s="16" t="inlineStr">
        <is>
          <t>Precalciner Upper Exit Temperature</t>
        </is>
      </c>
      <c r="C17" s="23" t="n">
        <v>907</v>
      </c>
      <c r="D17" s="18" t="inlineStr">
        <is>
          <t>°C</t>
        </is>
      </c>
      <c r="E17" s="19" t="inlineStr">
        <is>
          <t>Gas/meal suspension leaving PC chamber (K3T62A)</t>
        </is>
      </c>
      <c r="F17" s="20" t="inlineStr">
        <is>
          <t>C17</t>
        </is>
      </c>
    </row>
    <row r="18">
      <c r="B18" s="16" t="inlineStr">
        <is>
          <t>Preheater Top Exhaust Gas Temp</t>
        </is>
      </c>
      <c r="C18" s="23" t="n">
        <v>413</v>
      </c>
      <c r="D18" s="18" t="inlineStr">
        <is>
          <t>°C</t>
        </is>
      </c>
      <c r="E18" s="19" t="inlineStr">
        <is>
          <t>Gas leaving top cyclones 1N/1P manifold (K3T16)</t>
        </is>
      </c>
      <c r="F18" s="20" t="inlineStr">
        <is>
          <t>C18</t>
        </is>
      </c>
    </row>
    <row r="19">
      <c r="B19" s="16" t="inlineStr">
        <is>
          <t>Secondary Air Temperature</t>
        </is>
      </c>
      <c r="C19" s="23" t="n">
        <v>1000</v>
      </c>
      <c r="D19" s="18" t="inlineStr">
        <is>
          <t>°C</t>
        </is>
      </c>
      <c r="E19" s="19" t="inlineStr">
        <is>
          <t>Secondary combustion air entering kiln from cooler (L3T305)</t>
        </is>
      </c>
      <c r="F19" s="20" t="inlineStr">
        <is>
          <t>C19</t>
        </is>
      </c>
    </row>
    <row r="20">
      <c r="B20" s="16" t="inlineStr">
        <is>
          <t>Tertiary Air Temperature</t>
        </is>
      </c>
      <c r="C20" s="23" t="n">
        <v>862</v>
      </c>
      <c r="D20" s="18" t="inlineStr">
        <is>
          <t>°C</t>
        </is>
      </c>
      <c r="E20" s="19" t="inlineStr">
        <is>
          <t>Tertiary combustion air to precalciner (K3T60)</t>
        </is>
      </c>
      <c r="F20" s="20" t="inlineStr">
        <is>
          <t>C20</t>
        </is>
      </c>
    </row>
    <row r="21">
      <c r="B21" s="16" t="inlineStr">
        <is>
          <t>Cooler Excess Vent Air Temp</t>
        </is>
      </c>
      <c r="C21" s="23" t="n">
        <v>258</v>
      </c>
      <c r="D21" s="18" t="inlineStr">
        <is>
          <t>°C</t>
        </is>
      </c>
      <c r="E21" s="19" t="inlineStr">
        <is>
          <t>Excess cooler air vented to dedusting filter (L3T324)</t>
        </is>
      </c>
      <c r="F21" s="20" t="inlineStr">
        <is>
          <t>C21</t>
        </is>
      </c>
    </row>
    <row r="22">
      <c r="B22" s="16" t="inlineStr">
        <is>
          <t>Clinker Free Lime (CaO_free)</t>
        </is>
      </c>
      <c r="C22" s="21" t="n">
        <v>0.013</v>
      </c>
      <c r="D22" s="18" t="inlineStr">
        <is>
          <t>% wt</t>
        </is>
      </c>
      <c r="E22" s="19" t="inlineStr">
        <is>
          <t>Target free lime in produced clinker (Cal Livre = 1.30%)</t>
        </is>
      </c>
      <c r="F22" s="20" t="inlineStr">
        <is>
          <t>C22</t>
        </is>
      </c>
    </row>
    <row r="23">
      <c r="B23" s="15" t="inlineStr">
        <is>
          <t>2. DERIVED PRODUCTION &amp; ENERGY KPIS (FORMULA CALCULATED)</t>
        </is>
      </c>
    </row>
    <row r="24">
      <c r="B24" s="11" t="inlineStr">
        <is>
          <t>Parameter Description</t>
        </is>
      </c>
      <c r="C24" s="11" t="inlineStr">
        <is>
          <t>Setpoint / Input Value</t>
        </is>
      </c>
      <c r="D24" s="11" t="inlineStr">
        <is>
          <t>Engineering Unit</t>
        </is>
      </c>
      <c r="E24" s="11" t="inlineStr">
        <is>
          <t>Process Details &amp; Instrumentation</t>
        </is>
      </c>
    </row>
    <row r="25">
      <c r="B25" s="16" t="inlineStr">
        <is>
          <t>Clinker Production Rate (Hourly)</t>
        </is>
      </c>
      <c r="C25" s="24">
        <f>C6/C9</f>
        <v/>
      </c>
      <c r="D25" s="18" t="inlineStr">
        <is>
          <t>t/h</t>
        </is>
      </c>
      <c r="E25" s="19" t="inlineStr">
        <is>
          <t>Hourly clinker clinkerization yield</t>
        </is>
      </c>
    </row>
    <row r="26">
      <c r="B26" s="16" t="inlineStr">
        <is>
          <t>Clinker Production Rate (Daily)</t>
        </is>
      </c>
      <c r="C26" s="25">
        <f>C25*24</f>
        <v/>
      </c>
      <c r="D26" s="18" t="inlineStr">
        <is>
          <t>t/day (tpd)</t>
        </is>
      </c>
      <c r="E26" s="19" t="inlineStr">
        <is>
          <t>Nominal daily plant capacity</t>
        </is>
      </c>
    </row>
    <row r="27">
      <c r="B27" s="16" t="inlineStr">
        <is>
          <t>Target Specific Heat in SI Units</t>
        </is>
      </c>
      <c r="C27" s="25">
        <f>C10*4.1868</f>
        <v/>
      </c>
      <c r="D27" s="18" t="inlineStr">
        <is>
          <t>kJ/kg clinker</t>
        </is>
      </c>
      <c r="E27" s="19" t="inlineStr">
        <is>
          <t>Specific heat converted (1 kcal = 4.1868 kJ)</t>
        </is>
      </c>
    </row>
    <row r="28">
      <c r="B28" s="16" t="inlineStr">
        <is>
          <t>Total Thermal Fuel Power (GJ/h)</t>
        </is>
      </c>
      <c r="C28" s="24">
        <f>C25*C27/1000</f>
        <v/>
      </c>
      <c r="D28" s="18" t="inlineStr">
        <is>
          <t>GJ/h</t>
        </is>
      </c>
      <c r="E28" s="19" t="inlineStr">
        <is>
          <t>Total plant fuel energy input rate</t>
        </is>
      </c>
    </row>
    <row r="29">
      <c r="B29" s="16" t="inlineStr">
        <is>
          <t>Total Thermal Fuel Power (MWth)</t>
        </is>
      </c>
      <c r="C29" s="24">
        <f>C28/3.6</f>
        <v/>
      </c>
      <c r="D29" s="18" t="inlineStr">
        <is>
          <t>MWth</t>
        </is>
      </c>
      <c r="E29" s="19" t="inlineStr">
        <is>
          <t>Thermal power (1 MW = 3.6 GJ/h)</t>
        </is>
      </c>
    </row>
    <row r="30">
      <c r="B30" s="16" t="inlineStr">
        <is>
          <t>Precalciner Thermal Energy Rate</t>
        </is>
      </c>
      <c r="C30" s="24">
        <f>C28*C11</f>
        <v/>
      </c>
      <c r="D30" s="18" t="inlineStr">
        <is>
          <t>GJ/h</t>
        </is>
      </c>
      <c r="E30" s="19" t="inlineStr">
        <is>
          <t>Heat delivered to precalciner burner</t>
        </is>
      </c>
    </row>
    <row r="31">
      <c r="B31" s="16" t="inlineStr">
        <is>
          <t>Kiln Main Burner Thermal Rate</t>
        </is>
      </c>
      <c r="C31" s="24">
        <f>C28*(1-C11)</f>
        <v/>
      </c>
      <c r="D31" s="18" t="inlineStr">
        <is>
          <t>GJ/h</t>
        </is>
      </c>
      <c r="E31" s="19" t="inlineStr">
        <is>
          <t>Heat delivered to rotary kiln burner</t>
        </is>
      </c>
    </row>
    <row r="32">
      <c r="B32" s="16" t="inlineStr">
        <is>
          <t>Precalciner Thermal Power (MWth)</t>
        </is>
      </c>
      <c r="C32" s="24">
        <f>C30/3.6</f>
        <v/>
      </c>
      <c r="D32" s="18" t="inlineStr">
        <is>
          <t>MWth</t>
        </is>
      </c>
      <c r="E32" s="19" t="inlineStr">
        <is>
          <t>Precalciner burner thermal power</t>
        </is>
      </c>
    </row>
    <row r="33">
      <c r="B33" s="16" t="inlineStr">
        <is>
          <t>Kiln Main Burner Power (MWth)</t>
        </is>
      </c>
      <c r="C33" s="24">
        <f>C31/3.6</f>
        <v/>
      </c>
      <c r="D33" s="18" t="inlineStr">
        <is>
          <t>MWth</t>
        </is>
      </c>
      <c r="E33" s="19" t="inlineStr">
        <is>
          <t>Main burner thermal power</t>
        </is>
      </c>
    </row>
    <row r="34">
      <c r="B34" s="16" t="inlineStr">
        <is>
          <t>Annual Clinker Capacity (330 Days)</t>
        </is>
      </c>
      <c r="C34" s="26">
        <f>C26*330</f>
        <v/>
      </c>
      <c r="D34" s="18" t="inlineStr">
        <is>
          <t>t/year</t>
        </is>
      </c>
      <c r="E34" s="19" t="inlineStr">
        <is>
          <t>Annual capacity at 330 operating days/yr</t>
        </is>
      </c>
    </row>
    <row r="35">
      <c r="B35" s="16" t="inlineStr">
        <is>
          <t>Cooler Heat Recuperation Efficiency</t>
        </is>
      </c>
      <c r="C35" s="27">
        <f>(Clinker_Cooler_Balance!E20+Clinker_Cooler_Balance!E21-Clinker_Cooler_Balance!E19)/(Clinker_Cooler_Balance!E16-Clinker_Cooler_Balance!E17)</f>
        <v/>
      </c>
      <c r="D35" s="18" t="inlineStr">
        <is>
          <t>%</t>
        </is>
      </c>
      <c r="E35" s="19" t="inlineStr">
        <is>
          <t>Recuperated enthalpy / clinker heat released</t>
        </is>
      </c>
    </row>
  </sheetData>
  <mergeCells count="4">
    <mergeCell ref="B4:F4"/>
    <mergeCell ref="A2:H2"/>
    <mergeCell ref="B23:F2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9" customWidth="1" min="2" max="2"/>
    <col width="22" customWidth="1" min="3" max="3"/>
    <col width="23" customWidth="1" min="4" max="4"/>
    <col width="58" customWidth="1" min="5" max="5"/>
    <col width="65" customWidth="1" min="6" max="6"/>
    <col width="12" customWidth="1" min="7" max="7"/>
    <col width="12" customWidth="1" min="8" max="8"/>
  </cols>
  <sheetData>
    <row r="1" ht="26" customHeight="1">
      <c r="A1" s="1" t="inlineStr">
        <is>
          <t>RAW MEAL &amp; CLINKER CHEMICAL &amp; MINERALOGICAL SIMULATION</t>
        </is>
      </c>
    </row>
    <row r="2" ht="18" customHeight="1">
      <c r="A2" s="2" t="inlineStr">
        <is>
          <t>Stoichiometric Decarbonation, Loss on Ignition, and Bogue Mineral Phase Analysis</t>
        </is>
      </c>
    </row>
    <row r="3"/>
    <row r="4">
      <c r="B4" s="15" t="inlineStr">
        <is>
          <t>1. RAW MEAL ASSAY &amp; COMPONENT MASS FLOWS</t>
        </is>
      </c>
    </row>
    <row r="5">
      <c r="B5" s="11" t="inlineStr">
        <is>
          <t>Chemical Constituent</t>
        </is>
      </c>
      <c r="C5" s="11" t="inlineStr">
        <is>
          <t>Formula</t>
        </is>
      </c>
      <c r="D5" s="11" t="inlineStr">
        <is>
          <t>Dry wt%</t>
        </is>
      </c>
      <c r="E5" s="11" t="inlineStr">
        <is>
          <t>Mass Flow @ Nominal Feed (t/h)</t>
        </is>
      </c>
      <c r="F5" s="11" t="inlineStr">
        <is>
          <t>Function / Reaction in Process</t>
        </is>
      </c>
    </row>
    <row r="6">
      <c r="B6" s="28" t="inlineStr">
        <is>
          <t>Calcium Carbonate</t>
        </is>
      </c>
      <c r="C6" s="20" t="inlineStr">
        <is>
          <t>CaCO3</t>
        </is>
      </c>
      <c r="D6" s="29" t="n">
        <v>0.7685</v>
      </c>
      <c r="E6" s="30">
        <f>Inputs_Setpoints!$C$6*D6</f>
        <v/>
      </c>
      <c r="F6" s="20" t="inlineStr">
        <is>
          <t>Endothermic calcination: CaCO3 -&gt; CaO + CO2 (dH = +1782 kJ/kg)</t>
        </is>
      </c>
    </row>
    <row r="7">
      <c r="B7" s="28" t="inlineStr">
        <is>
          <t>Magnesium Carbonate</t>
        </is>
      </c>
      <c r="C7" s="20" t="inlineStr">
        <is>
          <t>MgCO3</t>
        </is>
      </c>
      <c r="D7" s="29" t="n">
        <v>0.028</v>
      </c>
      <c r="E7" s="30">
        <f>Inputs_Setpoints!$C$6*D7</f>
        <v/>
      </c>
      <c r="F7" s="20" t="inlineStr">
        <is>
          <t>Endothermic calcination: MgCO3 -&gt; MgO + CO2</t>
        </is>
      </c>
    </row>
    <row r="8">
      <c r="B8" s="28" t="inlineStr">
        <is>
          <t>Silicon Dioxide</t>
        </is>
      </c>
      <c r="C8" s="20" t="inlineStr">
        <is>
          <t>SiO2</t>
        </is>
      </c>
      <c r="D8" s="29" t="n">
        <v>0.135</v>
      </c>
      <c r="E8" s="30">
        <f>Inputs_Setpoints!$C$6*D8</f>
        <v/>
      </c>
      <c r="F8" s="20" t="inlineStr">
        <is>
          <t>Reacts with CaO to form Belite (C2S) and Alite (C3S)</t>
        </is>
      </c>
    </row>
    <row r="9">
      <c r="B9" s="28" t="inlineStr">
        <is>
          <t>Aluminum Oxide</t>
        </is>
      </c>
      <c r="C9" s="20" t="inlineStr">
        <is>
          <t>Al2O3</t>
        </is>
      </c>
      <c r="D9" s="29" t="n">
        <v>0.0335</v>
      </c>
      <c r="E9" s="30">
        <f>Inputs_Setpoints!$C$6*D9</f>
        <v/>
      </c>
      <c r="F9" s="20" t="inlineStr">
        <is>
          <t>Reacts with CaO to form Tricalcium Aluminate (C3A)</t>
        </is>
      </c>
    </row>
    <row r="10">
      <c r="B10" s="28" t="inlineStr">
        <is>
          <t>Iron Oxide</t>
        </is>
      </c>
      <c r="C10" s="20" t="inlineStr">
        <is>
          <t>Fe2O3</t>
        </is>
      </c>
      <c r="D10" s="29" t="n">
        <v>0.021</v>
      </c>
      <c r="E10" s="30">
        <f>Inputs_Setpoints!$C$6*D10</f>
        <v/>
      </c>
      <c r="F10" s="20" t="inlineStr">
        <is>
          <t>Forms Tetracalcium Aluminoferrite flux (C4AF)</t>
        </is>
      </c>
    </row>
    <row r="11">
      <c r="B11" s="28" t="inlineStr">
        <is>
          <t>Minor Volatiles (SO3, K2O, Na2O, Cl)</t>
        </is>
      </c>
      <c r="C11" s="20" t="inlineStr">
        <is>
          <t>Minor</t>
        </is>
      </c>
      <c r="D11" s="29" t="n">
        <v>0.014</v>
      </c>
      <c r="E11" s="30">
        <f>Inputs_Setpoints!$C$6*D11</f>
        <v/>
      </c>
      <c r="F11" s="20" t="inlineStr">
        <is>
          <t>Circulating volatile bypass loop elements</t>
        </is>
      </c>
    </row>
    <row r="12">
      <c r="B12" s="31" t="inlineStr">
        <is>
          <t>Total Dry Raw Meal</t>
        </is>
      </c>
      <c r="C12" s="31" t="inlineStr"/>
      <c r="D12" s="32">
        <f>SUM(D6:D11)</f>
        <v/>
      </c>
      <c r="E12" s="33">
        <f>SUM(E6:E11)</f>
        <v/>
      </c>
      <c r="F12" s="31" t="inlineStr">
        <is>
          <t>Baseline feed to kiln line</t>
        </is>
      </c>
    </row>
    <row r="13"/>
    <row r="14">
      <c r="B14" s="15" t="inlineStr">
        <is>
          <t>2. DECARBONATION STOICHIOMETRY &amp; PROCESS CO2 EMISSION</t>
        </is>
      </c>
    </row>
    <row r="15">
      <c r="B15" s="11" t="inlineStr">
        <is>
          <t>Reaction / Mass Parameter</t>
        </is>
      </c>
      <c r="C15" s="11" t="inlineStr">
        <is>
          <t>Formula Value</t>
        </is>
      </c>
      <c r="D15" s="11" t="inlineStr">
        <is>
          <t>Unit</t>
        </is>
      </c>
      <c r="E15" s="11" t="inlineStr">
        <is>
          <t>Thermodynamic Description</t>
        </is>
      </c>
    </row>
    <row r="16">
      <c r="B16" s="16" t="inlineStr">
        <is>
          <t>CO2 from CaCO3 Calcination (M_CO2/M_CaCO3 = 44.01/100.09)</t>
        </is>
      </c>
      <c r="C16" s="24">
        <f>E6*(44.01/100.09)</f>
        <v/>
      </c>
      <c r="D16" s="18" t="inlineStr">
        <is>
          <t>t/h</t>
        </is>
      </c>
      <c r="E16" s="19" t="inlineStr">
        <is>
          <t>Theoretical complete CaCO3 decarbonation gas</t>
        </is>
      </c>
    </row>
    <row r="17">
      <c r="B17" s="16" t="inlineStr">
        <is>
          <t>CO2 from MgCO3 Calcination (M_CO2/M_MgCO3 = 44.01/84.31)</t>
        </is>
      </c>
      <c r="C17" s="24">
        <f>E7*(44.01/84.31)</f>
        <v/>
      </c>
      <c r="D17" s="18" t="inlineStr">
        <is>
          <t>t/h</t>
        </is>
      </c>
      <c r="E17" s="19" t="inlineStr">
        <is>
          <t>Theoretical complete MgCO3 decarbonation gas</t>
        </is>
      </c>
    </row>
    <row r="18">
      <c r="B18" s="16" t="inlineStr">
        <is>
          <t>Total Potential Decarbonation CO2 (100% calcined)</t>
        </is>
      </c>
      <c r="C18" s="24">
        <f>C16+C17</f>
        <v/>
      </c>
      <c r="D18" s="18" t="inlineStr">
        <is>
          <t>t/h</t>
        </is>
      </c>
      <c r="E18" s="19" t="inlineStr">
        <is>
          <t>Total chemical process CO2 in raw meal (35.25% of feed)</t>
        </is>
      </c>
    </row>
    <row r="19">
      <c r="B19" s="16" t="inlineStr">
        <is>
          <t>Precalciner Decarbonation (92.5% of total CO2)</t>
        </is>
      </c>
      <c r="C19" s="24">
        <f>C18*Inputs_Setpoints!$C$13</f>
        <v/>
      </c>
      <c r="D19" s="18" t="inlineStr">
        <is>
          <t>t/h</t>
        </is>
      </c>
      <c r="E19" s="19" t="inlineStr">
        <is>
          <t>Process CO2 released inside Precalciner vessel</t>
        </is>
      </c>
    </row>
    <row r="20">
      <c r="B20" s="16" t="inlineStr">
        <is>
          <t>Rotary Kiln Decarbonation (Residual 7.5% of CO2)</t>
        </is>
      </c>
      <c r="C20" s="24">
        <f>C18*(1-Inputs_Setpoints!$C$13)</f>
        <v/>
      </c>
      <c r="D20" s="18" t="inlineStr">
        <is>
          <t>t/h</t>
        </is>
      </c>
      <c r="E20" s="19" t="inlineStr">
        <is>
          <t>Process CO2 released inside Rotary Kiln bed</t>
        </is>
      </c>
    </row>
    <row r="21">
      <c r="B21" s="16" t="inlineStr">
        <is>
          <t>Theoretical Heat of Calcination (dH = 3,960 kJ/kg CO2)</t>
        </is>
      </c>
      <c r="C21" s="24">
        <f>C18*1000*3960/1000000</f>
        <v/>
      </c>
      <c r="D21" s="18" t="inlineStr">
        <is>
          <t>GJ/h</t>
        </is>
      </c>
      <c r="E21" s="19" t="inlineStr">
        <is>
          <t>Endothermic heat requirement for decarbonation</t>
        </is>
      </c>
    </row>
    <row r="22">
      <c r="B22" s="16" t="inlineStr">
        <is>
          <t>Theoretical Calcination Power</t>
        </is>
      </c>
      <c r="C22" s="24">
        <f>C21/3.6</f>
        <v/>
      </c>
      <c r="D22" s="18" t="inlineStr">
        <is>
          <t>MWth</t>
        </is>
      </c>
      <c r="E22" s="19" t="inlineStr">
        <is>
          <t>Theoretical calcination power requirement</t>
        </is>
      </c>
    </row>
    <row r="23"/>
    <row r="24">
      <c r="B24" s="15" t="inlineStr">
        <is>
          <t>3. CLINKER OXIDE &amp; BOGUE MINERAL PHASE ANALYSIS</t>
        </is>
      </c>
    </row>
    <row r="25">
      <c r="B25" s="11" t="inlineStr">
        <is>
          <t>Oxide / Mineral Phase</t>
        </is>
      </c>
      <c r="C25" s="11" t="inlineStr">
        <is>
          <t>Mass Fraction (wt%)</t>
        </is>
      </c>
      <c r="D25" s="11" t="inlineStr">
        <is>
          <t>Mass Flow Rate (t/h)</t>
        </is>
      </c>
      <c r="E25" s="11" t="inlineStr">
        <is>
          <t>Mineralogical Significance</t>
        </is>
      </c>
    </row>
    <row r="26">
      <c r="B26" s="9" t="inlineStr">
        <is>
          <t>Total Calcium Oxide (CaO_total)</t>
        </is>
      </c>
      <c r="C26" s="34" t="n">
        <v>0.655</v>
      </c>
      <c r="D26" s="24">
        <f>Inputs_Setpoints!$C$25*C26</f>
        <v/>
      </c>
      <c r="E26" s="19" t="inlineStr">
        <is>
          <t>Total lime content in clinker</t>
        </is>
      </c>
    </row>
    <row r="27">
      <c r="B27" s="9" t="inlineStr">
        <is>
          <t>Free Lime (CaO_free)</t>
        </is>
      </c>
      <c r="C27" s="34">
        <f>Inputs_Setpoints!$C$22</f>
        <v/>
      </c>
      <c r="D27" s="24">
        <f>Inputs_Setpoints!$C$25*C27</f>
        <v/>
      </c>
      <c r="E27" s="19" t="inlineStr">
        <is>
          <t>Uncombined free lime (Target 1.30%)</t>
        </is>
      </c>
    </row>
    <row r="28">
      <c r="B28" s="9" t="inlineStr">
        <is>
          <t>Combined Calcium Oxide (CaO_comb)</t>
        </is>
      </c>
      <c r="C28" s="34">
        <f>C26-C27</f>
        <v/>
      </c>
      <c r="D28" s="24">
        <f>Inputs_Setpoints!$C$25*C28</f>
        <v/>
      </c>
      <c r="E28" s="19" t="inlineStr">
        <is>
          <t>Lime combined in silicates and aluminates</t>
        </is>
      </c>
    </row>
    <row r="29">
      <c r="B29" s="9" t="inlineStr">
        <is>
          <t>Silicon Dioxide (SiO2)</t>
        </is>
      </c>
      <c r="C29" s="34" t="n">
        <v>0.216</v>
      </c>
      <c r="D29" s="24">
        <f>Inputs_Setpoints!$C$25*C29</f>
        <v/>
      </c>
      <c r="E29" s="19" t="inlineStr">
        <is>
          <t>Silica oxide in clinker</t>
        </is>
      </c>
    </row>
    <row r="30">
      <c r="B30" s="9" t="inlineStr">
        <is>
          <t>Aluminum Oxide (Al2O3)</t>
        </is>
      </c>
      <c r="C30" s="34" t="n">
        <v>0.0536</v>
      </c>
      <c r="D30" s="24">
        <f>Inputs_Setpoints!$C$25*C30</f>
        <v/>
      </c>
      <c r="E30" s="19" t="inlineStr">
        <is>
          <t>Alumina oxide in clinker</t>
        </is>
      </c>
    </row>
    <row r="31">
      <c r="B31" s="9" t="inlineStr">
        <is>
          <t>Iron Oxide (Fe2O3)</t>
        </is>
      </c>
      <c r="C31" s="34" t="n">
        <v>0.0336</v>
      </c>
      <c r="D31" s="24">
        <f>Inputs_Setpoints!$C$25*C31</f>
        <v/>
      </c>
      <c r="E31" s="19" t="inlineStr">
        <is>
          <t>Iron oxide in clinker</t>
        </is>
      </c>
    </row>
    <row r="32">
      <c r="B32" s="9" t="inlineStr">
        <is>
          <t>Alite (C3S = 4.071*CaO_comb - 7.6*SiO2 - 6.718*Al2O3 - 1.43*Fe2O3)</t>
        </is>
      </c>
      <c r="C32" s="34" t="n">
        <v>0.612</v>
      </c>
      <c r="D32" s="24">
        <f>Inputs_Setpoints!$C$25*C32</f>
        <v/>
      </c>
      <c r="E32" s="19" t="inlineStr">
        <is>
          <t>Primary rapid hardening mineral phase (Alite)</t>
        </is>
      </c>
    </row>
    <row r="33">
      <c r="B33" s="9" t="inlineStr">
        <is>
          <t>Belite (C2S = 2.867*SiO2 - 0.7544*C3S)</t>
        </is>
      </c>
      <c r="C33" s="34" t="n">
        <v>0.165</v>
      </c>
      <c r="D33" s="24">
        <f>Inputs_Setpoints!$C$25*C33</f>
        <v/>
      </c>
      <c r="E33" s="19" t="inlineStr">
        <is>
          <t>Late strength development phase (Belite)</t>
        </is>
      </c>
    </row>
    <row r="34">
      <c r="B34" s="9" t="inlineStr">
        <is>
          <t>Tricalcium Aluminate (C3A = 2.65*Al2O3 - 1.692*Fe2O3)</t>
        </is>
      </c>
      <c r="C34" s="34" t="n">
        <v>0.08599999999999999</v>
      </c>
      <c r="D34" s="24">
        <f>Inputs_Setpoints!$C$25*C34</f>
        <v/>
      </c>
      <c r="E34" s="19" t="inlineStr">
        <is>
          <t>Fast setting phase (Aluminate)</t>
        </is>
      </c>
    </row>
    <row r="35">
      <c r="B35" s="9" t="inlineStr">
        <is>
          <t>Tetracalcium Aluminoferrite (C4AF = 3.043*Fe2O3)</t>
        </is>
      </c>
      <c r="C35" s="34" t="n">
        <v>0.102</v>
      </c>
      <c r="D35" s="24">
        <f>Inputs_Setpoints!$C$25*C35</f>
        <v/>
      </c>
      <c r="E35" s="19" t="inlineStr">
        <is>
          <t>Flux / liquid sintering phase (Ferrite)</t>
        </is>
      </c>
    </row>
    <row r="36">
      <c r="B36" s="9" t="inlineStr">
        <is>
          <t>Minor Oxides &amp; Sulfates (MgO, SO3, Alkalis)</t>
        </is>
      </c>
      <c r="C36" s="34" t="n">
        <v>0.022</v>
      </c>
      <c r="D36" s="24">
        <f>Inputs_Setpoints!$C$25*C36</f>
        <v/>
      </c>
      <c r="E36" s="19" t="inlineStr">
        <is>
          <t>Volatiles and minor components</t>
        </is>
      </c>
    </row>
  </sheetData>
  <mergeCells count="5">
    <mergeCell ref="B24:G24"/>
    <mergeCell ref="B14:G14"/>
    <mergeCell ref="A2:H2"/>
    <mergeCell ref="B4:G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7" customWidth="1" min="2" max="2"/>
    <col width="30" customWidth="1" min="3" max="3"/>
    <col width="23" customWidth="1" min="4" max="4"/>
    <col width="21" customWidth="1" min="5" max="5"/>
    <col width="23" customWidth="1" min="6" max="6"/>
    <col width="23" customWidth="1" min="7" max="7"/>
    <col width="37" customWidth="1" min="8" max="8"/>
    <col width="12" customWidth="1" min="9" max="9"/>
  </cols>
  <sheetData>
    <row r="1" ht="26" customHeight="1">
      <c r="A1" s="1" t="inlineStr">
        <is>
          <t>FUELS CHARACTERIZATION, COMBUSTION STOICHIOMETRY &amp; SPLITS</t>
        </is>
      </c>
    </row>
    <row r="2" ht="18" customHeight="1">
      <c r="A2" s="2" t="inlineStr">
        <is>
          <t>Petcoke, Alternative Fuel (CDR / RDF), and Heavy Fuel Oil Specifications</t>
        </is>
      </c>
    </row>
    <row r="3"/>
    <row r="4">
      <c r="B4" s="15" t="inlineStr">
        <is>
          <t>1. FUEL SUITE PROPERTIES &amp; THERMOCHEMICAL DATA</t>
        </is>
      </c>
    </row>
    <row r="5">
      <c r="B5" s="11" t="inlineStr">
        <is>
          <t>Fuel Type</t>
        </is>
      </c>
      <c r="C5" s="11" t="inlineStr">
        <is>
          <t>Lower Heating Value (MJ/kg)</t>
        </is>
      </c>
      <c r="D5" s="11" t="inlineStr">
        <is>
          <t>LHV (kcal/kg)</t>
        </is>
      </c>
      <c r="E5" s="11" t="inlineStr">
        <is>
          <t>Ash Content (wt%)</t>
        </is>
      </c>
      <c r="F5" s="11" t="inlineStr">
        <is>
          <t>Moisture (wt%)</t>
        </is>
      </c>
      <c r="G5" s="11" t="inlineStr">
        <is>
          <t>Carbon (C wt%)</t>
        </is>
      </c>
      <c r="H5" s="11" t="inlineStr">
        <is>
          <t>Hydrogen (H wt%)</t>
        </is>
      </c>
    </row>
    <row r="6">
      <c r="B6" s="16" t="inlineStr">
        <is>
          <t>Pulverized Petroleum Coke (Petcoke)</t>
        </is>
      </c>
      <c r="C6" s="35" t="n">
        <v>31.4</v>
      </c>
      <c r="D6" s="36" t="n">
        <v>7500</v>
      </c>
      <c r="E6" s="37" t="n">
        <v>0.008</v>
      </c>
      <c r="F6" s="37" t="n">
        <v>0.007</v>
      </c>
      <c r="G6" s="37" t="n">
        <v>0.865</v>
      </c>
      <c r="H6" s="37" t="n">
        <v>0.038</v>
      </c>
    </row>
    <row r="7">
      <c r="B7" s="16" t="inlineStr">
        <is>
          <t>CDR / Refuse Derived Fuel (RDF)</t>
        </is>
      </c>
      <c r="C7" s="35" t="n">
        <v>18</v>
      </c>
      <c r="D7" s="36" t="n">
        <v>4300</v>
      </c>
      <c r="E7" s="37" t="n">
        <v>0.113</v>
      </c>
      <c r="F7" s="37" t="n">
        <v>0.09</v>
      </c>
      <c r="G7" s="37" t="n">
        <v>0.48</v>
      </c>
      <c r="H7" s="37" t="n">
        <v>0.065</v>
      </c>
    </row>
    <row r="8">
      <c r="B8" s="16" t="inlineStr">
        <is>
          <t>Heavy Fuel Oil (Burner Trim)</t>
        </is>
      </c>
      <c r="C8" s="35" t="n">
        <v>41.8</v>
      </c>
      <c r="D8" s="36" t="n">
        <v>10000</v>
      </c>
      <c r="E8" s="37" t="n">
        <v>0.001</v>
      </c>
      <c r="F8" s="37" t="n">
        <v>0.005</v>
      </c>
      <c r="G8" s="37" t="n">
        <v>0.85</v>
      </c>
      <c r="H8" s="37" t="n">
        <v>0.115</v>
      </c>
    </row>
    <row r="9"/>
    <row r="10"/>
    <row r="11">
      <c r="B11" s="15" t="inlineStr">
        <is>
          <t>2. PROCESS FUEL CONSUMPTION RATES &amp; THERMAL ALLOCATION</t>
        </is>
      </c>
    </row>
    <row r="12">
      <c r="B12" s="11" t="inlineStr">
        <is>
          <t>Firing Location / Stream</t>
        </is>
      </c>
      <c r="C12" s="11" t="inlineStr">
        <is>
          <t>Fuel Type Assigned</t>
        </is>
      </c>
      <c r="D12" s="11" t="inlineStr">
        <is>
          <t>Thermal Split (GJ/h)</t>
        </is>
      </c>
      <c r="E12" s="11" t="inlineStr">
        <is>
          <t>Thermal Split (MW)</t>
        </is>
      </c>
      <c r="F12" s="11" t="inlineStr">
        <is>
          <t>Mass Flow Rate (t/h)</t>
        </is>
      </c>
      <c r="G12" s="11" t="inlineStr">
        <is>
          <t>HMI Feeder Tag</t>
        </is>
      </c>
      <c r="H12" s="11" t="inlineStr">
        <is>
          <t>Notes</t>
        </is>
      </c>
    </row>
    <row r="13">
      <c r="B13" s="16" t="inlineStr">
        <is>
          <t>Precalciner Alternative Fuel</t>
        </is>
      </c>
      <c r="C13" s="28" t="inlineStr">
        <is>
          <t>CDR (Lines 1 &amp; 2)</t>
        </is>
      </c>
      <c r="D13" s="38">
        <f>Inputs_Setpoints!$C$28*Inputs_Setpoints!$C$12*(191.88/235.84)</f>
        <v/>
      </c>
      <c r="E13" s="38">
        <f>D13/3.6</f>
        <v/>
      </c>
      <c r="F13" s="39">
        <f>D13/C7</f>
        <v/>
      </c>
      <c r="G13" s="18" t="inlineStr">
        <is>
          <t>Z3N218 &amp; Z3N213</t>
        </is>
      </c>
      <c r="H13" s="20" t="inlineStr">
        <is>
          <t>Line 1: 5.33 t/h, Line 2: 5.33 t/h</t>
        </is>
      </c>
    </row>
    <row r="14">
      <c r="B14" s="16" t="inlineStr">
        <is>
          <t>Precalciner Solid Fossil Fuel</t>
        </is>
      </c>
      <c r="C14" s="28" t="inlineStr">
        <is>
          <t>Petcoke</t>
        </is>
      </c>
      <c r="D14" s="38">
        <f>Inputs_Setpoints!$C$30-D13</f>
        <v/>
      </c>
      <c r="E14" s="38">
        <f>D14/3.6</f>
        <v/>
      </c>
      <c r="F14" s="39">
        <f>D14/C6</f>
        <v/>
      </c>
      <c r="G14" s="18" t="inlineStr">
        <is>
          <t>S3F04</t>
        </is>
      </c>
      <c r="H14" s="20" t="inlineStr">
        <is>
          <t>Controlled to maintain 907 °C exit</t>
        </is>
      </c>
    </row>
    <row r="15">
      <c r="B15" s="16" t="inlineStr">
        <is>
          <t>Precalciner Total Heat Input</t>
        </is>
      </c>
      <c r="C15" s="28" t="inlineStr">
        <is>
          <t>Combined PC Fuels</t>
        </is>
      </c>
      <c r="D15" s="38">
        <f>D13+D14</f>
        <v/>
      </c>
      <c r="E15" s="38">
        <f>E13+E14</f>
        <v/>
      </c>
      <c r="F15" s="39">
        <f>F13+F14</f>
        <v/>
      </c>
      <c r="G15" s="18" t="inlineStr">
        <is>
          <t>Precalciner Subtotal</t>
        </is>
      </c>
      <c r="H15" s="20" t="inlineStr">
        <is>
          <t>54.1% Plant Thermal Split</t>
        </is>
      </c>
    </row>
    <row r="16">
      <c r="B16" s="16" t="inlineStr">
        <is>
          <t>Rotary Kiln Alternative Fuel</t>
        </is>
      </c>
      <c r="C16" s="28" t="inlineStr">
        <is>
          <t>CDR (Burner Feeder)</t>
        </is>
      </c>
      <c r="D16" s="38">
        <f>Inputs_Setpoints!$C$28*Inputs_Setpoints!$C$12*(43.92/235.84)</f>
        <v/>
      </c>
      <c r="E16" s="38">
        <f>D16/3.6</f>
        <v/>
      </c>
      <c r="F16" s="39">
        <f>D16/C7</f>
        <v/>
      </c>
      <c r="G16" s="18" t="inlineStr">
        <is>
          <t>Z3N412</t>
        </is>
      </c>
      <c r="H16" s="20" t="inlineStr">
        <is>
          <t>Solid AF pneumatically blown</t>
        </is>
      </c>
    </row>
    <row r="17">
      <c r="B17" s="16" t="inlineStr">
        <is>
          <t>Rotary Kiln Heavy Oil Trim</t>
        </is>
      </c>
      <c r="C17" s="28" t="inlineStr">
        <is>
          <t>Heavy Fuel Oil</t>
        </is>
      </c>
      <c r="D17" s="38" t="n">
        <v>24.04</v>
      </c>
      <c r="E17" s="38">
        <f>D17/3.6</f>
        <v/>
      </c>
      <c r="F17" s="39">
        <f>D17/C8</f>
        <v/>
      </c>
      <c r="G17" s="18" t="inlineStr">
        <is>
          <t>L3F03</t>
        </is>
      </c>
      <c r="H17" s="20" t="inlineStr">
        <is>
          <t>Flow = 605 l/h @ 0.95 kg/dm3</t>
        </is>
      </c>
    </row>
    <row r="18">
      <c r="B18" s="16" t="inlineStr">
        <is>
          <t>Rotary Kiln Solid Fossil Fuel</t>
        </is>
      </c>
      <c r="C18" s="28" t="inlineStr">
        <is>
          <t>Petcoke</t>
        </is>
      </c>
      <c r="D18" s="38">
        <f>Inputs_Setpoints!$C$31-D16-D17</f>
        <v/>
      </c>
      <c r="E18" s="38">
        <f>D18/3.6</f>
        <v/>
      </c>
      <c r="F18" s="39">
        <f>D18/C6</f>
        <v/>
      </c>
      <c r="G18" s="18" t="inlineStr">
        <is>
          <t>L3F200</t>
        </is>
      </c>
      <c r="H18" s="20" t="inlineStr">
        <is>
          <t>Main flame shaping solid fuel</t>
        </is>
      </c>
    </row>
    <row r="19">
      <c r="B19" s="16" t="inlineStr">
        <is>
          <t>Rotary Kiln Total Heat Input</t>
        </is>
      </c>
      <c r="C19" s="28" t="inlineStr">
        <is>
          <t>Combined Kiln Fuels</t>
        </is>
      </c>
      <c r="D19" s="38">
        <f>D16+D17+D18</f>
        <v/>
      </c>
      <c r="E19" s="38">
        <f>E16+E17+E18</f>
        <v/>
      </c>
      <c r="F19" s="39">
        <f>F16+F17+F18</f>
        <v/>
      </c>
      <c r="G19" s="18" t="inlineStr">
        <is>
          <t>Main Burner Subtotal</t>
        </is>
      </c>
      <c r="H19" s="20" t="inlineStr">
        <is>
          <t>45.9% Plant Thermal Split</t>
        </is>
      </c>
    </row>
    <row r="20">
      <c r="B20" s="31" t="inlineStr">
        <is>
          <t>TOTAL PLANT FUEL FIRING</t>
        </is>
      </c>
      <c r="C20" s="31" t="inlineStr">
        <is>
          <t>ALL FUELS COMBINED</t>
        </is>
      </c>
      <c r="D20" s="40">
        <f>D15+D19</f>
        <v/>
      </c>
      <c r="E20" s="40">
        <f>E15+E19</f>
        <v/>
      </c>
      <c r="F20" s="40">
        <f>F15+F19</f>
        <v/>
      </c>
      <c r="G20" s="31" t="inlineStr">
        <is>
          <t>TOTAL FEEDERS</t>
        </is>
      </c>
      <c r="H20" s="31" t="inlineStr">
        <is>
          <t>Conserves total fuel energy</t>
        </is>
      </c>
    </row>
    <row r="21"/>
    <row r="22"/>
    <row r="23"/>
    <row r="24"/>
    <row r="25"/>
    <row r="26"/>
    <row r="27"/>
    <row r="28">
      <c r="B28" s="9" t="inlineStr">
        <is>
          <t>SUMMARY REFERENCES FOR SIMULATION ENGINE:</t>
        </is>
      </c>
    </row>
    <row r="29">
      <c r="B29" s="41" t="inlineStr">
        <is>
          <t>Total CDR Alternative Fuel (t/h)</t>
        </is>
      </c>
      <c r="C29" s="42">
        <f>F13+F16</f>
        <v/>
      </c>
    </row>
    <row r="30">
      <c r="B30" s="41" t="inlineStr">
        <is>
          <t>Total Petcoke (t/h)</t>
        </is>
      </c>
      <c r="C30" s="42">
        <f>F14+F18</f>
        <v/>
      </c>
    </row>
    <row r="31">
      <c r="B31" s="41" t="inlineStr">
        <is>
          <t>Total Heavy Fuel Oil (t/h)</t>
        </is>
      </c>
      <c r="C31" s="42">
        <f>F17</f>
        <v/>
      </c>
    </row>
    <row r="32">
      <c r="B32" s="41" t="inlineStr">
        <is>
          <t>Total Fuel Mass (t/h)</t>
        </is>
      </c>
      <c r="C32" s="42">
        <f>F20</f>
        <v/>
      </c>
    </row>
  </sheetData>
  <mergeCells count="4">
    <mergeCell ref="A1:I1"/>
    <mergeCell ref="B4:H4"/>
    <mergeCell ref="A2:I2"/>
    <mergeCell ref="B11:H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9" customWidth="1" min="2" max="2"/>
    <col width="22" customWidth="1" min="3" max="3"/>
    <col width="23" customWidth="1" min="4" max="4"/>
    <col width="24" customWidth="1" min="5" max="5"/>
    <col width="20" customWidth="1" min="6" max="6"/>
    <col width="22" customWidth="1" min="7" max="7"/>
    <col width="46" customWidth="1" min="8" max="8"/>
  </cols>
  <sheetData>
    <row r="1" ht="26" customHeight="1">
      <c r="A1" s="1" t="inlineStr">
        <is>
          <t>CLINKER GRATE COOLER MASS &amp; HEAT RECUPERATION BALANCE</t>
        </is>
      </c>
    </row>
    <row r="2" ht="18" customHeight="1">
      <c r="A2" s="2" t="inlineStr">
        <is>
          <t>Receives Clinker @ 1450 °C, Secondary Air @ 1000 °C, Tertiary Air @ 862 °C, Clinker Out @ 90 °C</t>
        </is>
      </c>
    </row>
    <row r="3"/>
    <row r="4">
      <c r="B4" s="15" t="inlineStr">
        <is>
          <t>1. CLINKER GRATE COOLER AIR &amp; MASS BALANCE</t>
        </is>
      </c>
    </row>
    <row r="5">
      <c r="B5" s="11" t="inlineStr">
        <is>
          <t>Stream Identification</t>
        </is>
      </c>
      <c r="C5" s="11" t="inlineStr">
        <is>
          <t>Phase</t>
        </is>
      </c>
      <c r="D5" s="11" t="inlineStr">
        <is>
          <t>Norm. Volume (Nm3/h)</t>
        </is>
      </c>
      <c r="E5" s="11" t="inlineStr">
        <is>
          <t>Mass Flow (t/h)</t>
        </is>
      </c>
      <c r="F5" s="11" t="inlineStr">
        <is>
          <t>Temp (°C)</t>
        </is>
      </c>
      <c r="G5" s="11" t="inlineStr">
        <is>
          <t>Static Press (mbar)</t>
        </is>
      </c>
      <c r="H5" s="11" t="inlineStr">
        <is>
          <t>Process Role</t>
        </is>
      </c>
    </row>
    <row r="6">
      <c r="B6" s="16" t="inlineStr">
        <is>
          <t>IN: Hot Clinker Discharge from Kiln</t>
        </is>
      </c>
      <c r="C6" s="18" t="inlineStr">
        <is>
          <t>Solid</t>
        </is>
      </c>
      <c r="D6" s="43" t="inlineStr">
        <is>
          <t>-</t>
        </is>
      </c>
      <c r="E6" s="30">
        <f>Inputs_Setpoints!$C$25</f>
        <v/>
      </c>
      <c r="F6" s="44" t="n">
        <v>1450</v>
      </c>
      <c r="G6" s="44" t="n">
        <v>-0.3</v>
      </c>
      <c r="H6" s="20" t="inlineStr">
        <is>
          <t>Molten clinker feed from kiln hood</t>
        </is>
      </c>
    </row>
    <row r="7">
      <c r="B7" s="16" t="inlineStr">
        <is>
          <t>IN: Cooling Ambient Air Fans (Battery)</t>
        </is>
      </c>
      <c r="C7" s="18" t="inlineStr">
        <is>
          <t>Gas</t>
        </is>
      </c>
      <c r="D7" s="45" t="n">
        <v>330000</v>
      </c>
      <c r="E7" s="30">
        <f>D7*1.293/1000</f>
        <v/>
      </c>
      <c r="F7" s="44" t="n">
        <v>25</v>
      </c>
      <c r="G7" s="44" t="n">
        <v>65</v>
      </c>
      <c r="H7" s="20" t="inlineStr">
        <is>
          <t>Fans L3M330, L3M335, L3M207, L3M433, L3M209</t>
        </is>
      </c>
    </row>
    <row r="8"/>
    <row r="9">
      <c r="B9" s="16" t="inlineStr">
        <is>
          <t>OUT: Secondary Combustion Air to Kiln</t>
        </is>
      </c>
      <c r="C9" s="18" t="inlineStr">
        <is>
          <t>Gas</t>
        </is>
      </c>
      <c r="D9" s="45" t="n">
        <v>78000</v>
      </c>
      <c r="E9" s="30">
        <f>D9*1.293/1000</f>
        <v/>
      </c>
      <c r="F9" s="44">
        <f>Inputs_Setpoints!$C$19</f>
        <v/>
      </c>
      <c r="G9" s="44" t="n">
        <v>-0.3</v>
      </c>
      <c r="H9" s="20" t="inlineStr">
        <is>
          <t>High-temp secondary air to kiln hood</t>
        </is>
      </c>
    </row>
    <row r="10">
      <c r="B10" s="16" t="inlineStr">
        <is>
          <t>OUT: Tertiary Air to Precalciner Duct</t>
        </is>
      </c>
      <c r="C10" s="18" t="inlineStr">
        <is>
          <t>Gas</t>
        </is>
      </c>
      <c r="D10" s="45" t="n">
        <v>105000</v>
      </c>
      <c r="E10" s="30">
        <f>D10*1.293/1000</f>
        <v/>
      </c>
      <c r="F10" s="44">
        <f>Inputs_Setpoints!$C$20</f>
        <v/>
      </c>
      <c r="G10" s="44" t="n">
        <v>-3.6</v>
      </c>
      <c r="H10" s="20" t="inlineStr">
        <is>
          <t>Recuperated combustion air to PC</t>
        </is>
      </c>
    </row>
    <row r="11">
      <c r="B11" s="16" t="inlineStr">
        <is>
          <t>OUT: Cooler Excess Vent Air to Baghouse</t>
        </is>
      </c>
      <c r="C11" s="18" t="inlineStr">
        <is>
          <t>Gas</t>
        </is>
      </c>
      <c r="D11" s="45">
        <f>D7-D9-D10</f>
        <v/>
      </c>
      <c r="E11" s="30">
        <f>D11*1.293/1000</f>
        <v/>
      </c>
      <c r="F11" s="44">
        <f>Inputs_Setpoints!$C$21</f>
        <v/>
      </c>
      <c r="G11" s="44" t="n">
        <v>-4.6</v>
      </c>
      <c r="H11" s="20" t="inlineStr">
        <is>
          <t>Excess air discharged via filter fan L3M366</t>
        </is>
      </c>
    </row>
    <row r="12">
      <c r="B12" s="16" t="inlineStr">
        <is>
          <t>OUT: Cooled Clinker Discharge to Silo</t>
        </is>
      </c>
      <c r="C12" s="18" t="inlineStr">
        <is>
          <t>Solid</t>
        </is>
      </c>
      <c r="D12" s="43" t="inlineStr">
        <is>
          <t>-</t>
        </is>
      </c>
      <c r="E12" s="30">
        <f>Inputs_Setpoints!$C$25</f>
        <v/>
      </c>
      <c r="F12" s="44">
        <f>Inputs_Setpoints!$C$14</f>
        <v/>
      </c>
      <c r="G12" s="44" t="n">
        <v>0</v>
      </c>
      <c r="H12" s="20" t="inlineStr">
        <is>
          <t>Discharged to clinker conveyor and silo</t>
        </is>
      </c>
    </row>
    <row r="13">
      <c r="B13" s="31" t="inlineStr">
        <is>
          <t>TOTAL COOLER INFLOWS</t>
        </is>
      </c>
      <c r="C13" s="31" t="inlineStr"/>
      <c r="D13" s="46">
        <f>D7</f>
        <v/>
      </c>
      <c r="E13" s="40">
        <f>E6+E7</f>
        <v/>
      </c>
      <c r="F13" s="31" t="inlineStr">
        <is>
          <t>TOTAL OUTFLOWS</t>
        </is>
      </c>
      <c r="G13" s="40">
        <f>E9+E10+E11+E12</f>
        <v/>
      </c>
      <c r="H13" s="31">
        <f>IF(ABS(E13-G13)&lt;0.05,"PERFECT MASS CLOSURE","CHECK AIR")</f>
        <v/>
      </c>
    </row>
    <row r="14">
      <c r="B14" s="15" t="inlineStr">
        <is>
          <t>2. CLINKER COOLER HEAT BALANCE &amp; RECUPERATION EFFICIENCY</t>
        </is>
      </c>
    </row>
    <row r="15">
      <c r="B15" s="11" t="inlineStr">
        <is>
          <t>Thermal Stream</t>
        </is>
      </c>
      <c r="C15" s="11" t="inlineStr">
        <is>
          <t>Reference Temp (°C)</t>
        </is>
      </c>
      <c r="D15" s="11" t="inlineStr">
        <is>
          <t>Enthalpy Flow (GJ/h)</t>
        </is>
      </c>
      <c r="E15" s="11" t="inlineStr">
        <is>
          <t>Equivalent Power (MW)</t>
        </is>
      </c>
      <c r="F15" s="11" t="inlineStr">
        <is>
          <t>% of Clinker Heat</t>
        </is>
      </c>
      <c r="G15" s="11" t="inlineStr">
        <is>
          <t>Thermodynamic Note</t>
        </is>
      </c>
    </row>
    <row r="16">
      <c r="B16" s="16" t="inlineStr">
        <is>
          <t>Sensible Heat in Molten Clinker IN (1450 °C)</t>
        </is>
      </c>
      <c r="C16" s="18" t="n">
        <v>1450</v>
      </c>
      <c r="D16" s="4" t="n"/>
      <c r="E16" s="47">
        <f>E6*(0.75+0.00025*F6)*(F6+273.15)/1000</f>
        <v/>
      </c>
      <c r="F16" s="30">
        <f>E16/3.6</f>
        <v/>
      </c>
      <c r="G16" s="29">
        <f>E16/$E$16</f>
        <v/>
      </c>
      <c r="H16" s="20" t="inlineStr">
        <is>
          <t>Total enthalpy imported from kiln</t>
        </is>
      </c>
    </row>
    <row r="17">
      <c r="B17" s="16" t="inlineStr">
        <is>
          <t>Sensible Heat in Discharged Clinker OUT (90 °C)</t>
        </is>
      </c>
      <c r="C17" s="18" t="n">
        <v>90</v>
      </c>
      <c r="D17" s="4" t="n"/>
      <c r="E17" s="47">
        <f>E12*(0.75+0.00025*F12)*(F12+273.15)/1000</f>
        <v/>
      </c>
      <c r="F17" s="30">
        <f>E17/3.6</f>
        <v/>
      </c>
      <c r="G17" s="29">
        <f>E17/$E$16</f>
        <v/>
      </c>
      <c r="H17" s="20" t="inlineStr">
        <is>
          <t>Residual clinker heat lost to silo</t>
        </is>
      </c>
    </row>
    <row r="18">
      <c r="B18" s="16" t="inlineStr">
        <is>
          <t>Net Heat Extracted from Clinker</t>
        </is>
      </c>
      <c r="C18" s="18" t="inlineStr">
        <is>
          <t>-</t>
        </is>
      </c>
      <c r="D18" s="4" t="n"/>
      <c r="E18" s="47">
        <f>E16-E17</f>
        <v/>
      </c>
      <c r="F18" s="30">
        <f>E18/3.6</f>
        <v/>
      </c>
      <c r="G18" s="29">
        <f>E18/$E$16</f>
        <v/>
      </c>
      <c r="H18" s="20" t="inlineStr">
        <is>
          <t>Enthalpy transferred to cooling air</t>
        </is>
      </c>
    </row>
    <row r="19">
      <c r="B19" s="16" t="inlineStr">
        <is>
          <t>Cooling Ambient Air Fans IN (25 °C)</t>
        </is>
      </c>
      <c r="C19" s="18" t="n">
        <v>25</v>
      </c>
      <c r="D19" s="4" t="n"/>
      <c r="E19" s="47">
        <f>D7*1.30*(F7+273.15)/1000000</f>
        <v/>
      </c>
      <c r="F19" s="30">
        <f>E19/3.6</f>
        <v/>
      </c>
      <c r="G19" s="29">
        <f>E19/$E$16</f>
        <v/>
      </c>
      <c r="H19" s="20" t="inlineStr">
        <is>
          <t>Ambient air baseline enthalpy</t>
        </is>
      </c>
    </row>
    <row r="20">
      <c r="B20" s="16" t="inlineStr">
        <is>
          <t>Recuperated Heat to Secondary Air (1000 °C)</t>
        </is>
      </c>
      <c r="C20" s="18" t="n">
        <v>1000</v>
      </c>
      <c r="D20" s="4" t="n"/>
      <c r="E20" s="47">
        <f>D9*1.32*(Inputs_Setpoints!$C$19+273.15)/1000000</f>
        <v/>
      </c>
      <c r="F20" s="30">
        <f>E20/3.6</f>
        <v/>
      </c>
      <c r="G20" s="29">
        <f>E20/$E$18</f>
        <v/>
      </c>
      <c r="H20" s="20" t="inlineStr">
        <is>
          <t>Preheats kiln secondary combustion air</t>
        </is>
      </c>
    </row>
    <row r="21">
      <c r="B21" s="16" t="inlineStr">
        <is>
          <t>Recuperated Heat to Tertiary Air (862 °C)</t>
        </is>
      </c>
      <c r="C21" s="18" t="n">
        <v>862</v>
      </c>
      <c r="D21" s="4" t="n"/>
      <c r="E21" s="47">
        <f>D10*1.31*(Inputs_Setpoints!$C$20+273.15)/1000000</f>
        <v/>
      </c>
      <c r="F21" s="30">
        <f>E21/3.6</f>
        <v/>
      </c>
      <c r="G21" s="29">
        <f>E21/$E$18</f>
        <v/>
      </c>
      <c r="H21" s="20" t="inlineStr">
        <is>
          <t>Preheats calciner combustion air</t>
        </is>
      </c>
    </row>
    <row r="22">
      <c r="B22" s="16" t="inlineStr">
        <is>
          <t>Heat Loss in Cooler Vent Air (258 °C)</t>
        </is>
      </c>
      <c r="C22" s="18" t="n">
        <v>258</v>
      </c>
      <c r="D22" s="4" t="n"/>
      <c r="E22" s="47">
        <f>D11*1.30*(Inputs_Setpoints!$C$21+273.15)/1000000</f>
        <v/>
      </c>
      <c r="F22" s="30">
        <f>E22/3.6</f>
        <v/>
      </c>
      <c r="G22" s="29">
        <f>E22/$E$18</f>
        <v/>
      </c>
      <c r="H22" s="20" t="inlineStr">
        <is>
          <t>Exhausted through dedusting bag filter</t>
        </is>
      </c>
    </row>
    <row r="23">
      <c r="B23" s="16" t="inlineStr">
        <is>
          <t>Cooler Shell &amp; Structure Heat Loss</t>
        </is>
      </c>
      <c r="C23" s="18" t="inlineStr">
        <is>
          <t>Shell</t>
        </is>
      </c>
      <c r="D23" s="4" t="n"/>
      <c r="E23" s="47" t="n">
        <v>7.03</v>
      </c>
      <c r="F23" s="30">
        <f>E23/3.6</f>
        <v/>
      </c>
      <c r="G23" s="29">
        <f>E23/$E$18</f>
        <v/>
      </c>
      <c r="H23" s="20" t="inlineStr">
        <is>
          <t>Casing radiation and convection</t>
        </is>
      </c>
    </row>
    <row r="24">
      <c r="B24" s="48" t="inlineStr">
        <is>
          <t>Cooler Thermal Recuperation Efficiency (eta_rec)</t>
        </is>
      </c>
      <c r="C24" s="18" t="inlineStr">
        <is>
          <t>-</t>
        </is>
      </c>
      <c r="D24" s="4" t="n"/>
      <c r="E24" s="49">
        <f>(E20+E21-E19)/E18</f>
        <v/>
      </c>
      <c r="F24" s="43" t="inlineStr">
        <is>
          <t>-</t>
        </is>
      </c>
      <c r="G24" s="43" t="inlineStr">
        <is>
          <t>-</t>
        </is>
      </c>
      <c r="H24" s="20" t="inlineStr">
        <is>
          <t>Recuperated / Available Heat = 77.38%</t>
        </is>
      </c>
    </row>
  </sheetData>
  <mergeCells count="4">
    <mergeCell ref="B14:H14"/>
    <mergeCell ref="B4:H4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29" customWidth="1" min="3" max="3"/>
    <col width="15" customWidth="1" min="4" max="4"/>
    <col width="60" customWidth="1" min="5" max="5"/>
    <col width="22" customWidth="1" min="6" max="6"/>
    <col width="17" customWidth="1" min="7" max="7"/>
    <col width="18" customWidth="1" min="8" max="8"/>
    <col width="43" customWidth="1" min="9" max="9"/>
  </cols>
  <sheetData>
    <row r="1" ht="26" customHeight="1">
      <c r="A1" s="1" t="inlineStr">
        <is>
          <t>4-STAGE DUAL-STRING SUSPENSION PREHEATER TOWER</t>
        </is>
      </c>
    </row>
    <row r="2" ht="18" customHeight="1">
      <c r="A2" s="2" t="inlineStr">
        <is>
          <t>Strings N &amp; P: Counter-Current Gas-Solid Heat Exchange, Separation Efficiencies &amp; Drafts</t>
        </is>
      </c>
    </row>
    <row r="3"/>
    <row r="4">
      <c r="B4" s="15" t="inlineStr">
        <is>
          <t>1. SUSPENSION CYCLONE STAGES PROCESS PROFILE</t>
        </is>
      </c>
    </row>
    <row r="5">
      <c r="B5" s="11" t="inlineStr">
        <is>
          <t>Cyclone Stage &amp; Unit</t>
        </is>
      </c>
      <c r="C5" s="11" t="inlineStr">
        <is>
          <t>Gas In (°C)</t>
        </is>
      </c>
      <c r="D5" s="11" t="inlineStr">
        <is>
          <t>Gas Out (°C)</t>
        </is>
      </c>
      <c r="E5" s="11" t="inlineStr">
        <is>
          <t>Meal Out (°C)</t>
        </is>
      </c>
      <c r="F5" s="11" t="inlineStr">
        <is>
          <t>Static Draft (mbar)</t>
        </is>
      </c>
      <c r="G5" s="11" t="inlineStr">
        <is>
          <t>Separation Eff</t>
        </is>
      </c>
      <c r="H5" s="11" t="inlineStr">
        <is>
          <t>Meal Flow (t/h)</t>
        </is>
      </c>
      <c r="I5" s="11" t="inlineStr">
        <is>
          <t>HMI Sensor Tag</t>
        </is>
      </c>
    </row>
    <row r="6">
      <c r="B6" s="16" t="inlineStr">
        <is>
          <t>Top Combined Exit Manifold</t>
        </is>
      </c>
      <c r="C6" s="43" t="inlineStr">
        <is>
          <t>-</t>
        </is>
      </c>
      <c r="D6" s="44">
        <f>Inputs_Setpoints!$C$18</f>
        <v/>
      </c>
      <c r="E6" s="43" t="inlineStr">
        <is>
          <t>-</t>
        </is>
      </c>
      <c r="F6" s="44" t="n">
        <v>-56</v>
      </c>
      <c r="G6" s="43" t="inlineStr">
        <is>
          <t>-</t>
        </is>
      </c>
      <c r="H6" s="43" t="inlineStr">
        <is>
          <t>-</t>
        </is>
      </c>
      <c r="I6" s="20" t="inlineStr">
        <is>
          <t>K3T16 = 413 °C, K3P02 = -56 mbar</t>
        </is>
      </c>
    </row>
    <row r="7">
      <c r="B7" s="16" t="inlineStr">
        <is>
          <t>Cyclone 1N (String N Top)</t>
        </is>
      </c>
      <c r="C7" s="44" t="n">
        <v>635</v>
      </c>
      <c r="D7" s="44" t="n">
        <v>432</v>
      </c>
      <c r="E7" s="44" t="n">
        <v>458</v>
      </c>
      <c r="F7" s="44" t="n">
        <v>-51</v>
      </c>
      <c r="G7" s="50" t="n">
        <v>0.968</v>
      </c>
      <c r="H7" s="30">
        <f>Inputs_Setpoints!$C$6*0.5*0.995</f>
        <v/>
      </c>
      <c r="I7" s="20" t="inlineStr">
        <is>
          <t>K3T17 / K3T19 / K3P12</t>
        </is>
      </c>
    </row>
    <row r="8">
      <c r="B8" s="16" t="inlineStr">
        <is>
          <t>Cyclone 1P (String P Top)</t>
        </is>
      </c>
      <c r="C8" s="44" t="n">
        <v>606</v>
      </c>
      <c r="D8" s="44" t="n">
        <v>408</v>
      </c>
      <c r="E8" s="44" t="n">
        <v>407</v>
      </c>
      <c r="F8" s="44" t="n">
        <v>-50</v>
      </c>
      <c r="G8" s="50" t="n">
        <v>0.972</v>
      </c>
      <c r="H8" s="30">
        <f>Inputs_Setpoints!$C$6*0.5*0.995</f>
        <v/>
      </c>
      <c r="I8" s="20" t="inlineStr">
        <is>
          <t>K3T18 / K3T20 / K3P13</t>
        </is>
      </c>
    </row>
    <row r="9">
      <c r="B9" s="16" t="inlineStr">
        <is>
          <t>Cyclone 2N (String N Middle)</t>
        </is>
      </c>
      <c r="C9" s="44" t="n">
        <v>637</v>
      </c>
      <c r="D9" s="44" t="n">
        <v>635</v>
      </c>
      <c r="E9" s="44" t="n">
        <v>635</v>
      </c>
      <c r="F9" s="44" t="n">
        <v>-39</v>
      </c>
      <c r="G9" s="50" t="n">
        <v>0.895</v>
      </c>
      <c r="H9" s="30">
        <f>H7*0.987</f>
        <v/>
      </c>
      <c r="I9" s="20" t="inlineStr">
        <is>
          <t>K3T48 / K3T50 / K3P15B</t>
        </is>
      </c>
    </row>
    <row r="10">
      <c r="B10" s="16" t="inlineStr">
        <is>
          <t>Cyclone 2P (String P Middle)</t>
        </is>
      </c>
      <c r="C10" s="44" t="n">
        <v>608</v>
      </c>
      <c r="D10" s="44" t="n">
        <v>606</v>
      </c>
      <c r="E10" s="44" t="n">
        <v>606</v>
      </c>
      <c r="F10" s="44" t="n">
        <v>-31</v>
      </c>
      <c r="G10" s="50" t="n">
        <v>0.902</v>
      </c>
      <c r="H10" s="30">
        <f>H8*0.987</f>
        <v/>
      </c>
      <c r="I10" s="20" t="inlineStr">
        <is>
          <t>K3T49 / K3T51 / K3P15</t>
        </is>
      </c>
    </row>
    <row r="11">
      <c r="B11" s="16" t="inlineStr">
        <is>
          <t>Stage 3 Cyclone &amp; Chamber</t>
        </is>
      </c>
      <c r="C11" s="44" t="n">
        <v>762</v>
      </c>
      <c r="D11" s="44" t="n">
        <v>650</v>
      </c>
      <c r="E11" s="44" t="n">
        <v>762</v>
      </c>
      <c r="F11" s="44" t="n">
        <v>-9.6</v>
      </c>
      <c r="G11" s="50" t="n">
        <v>0.88</v>
      </c>
      <c r="H11" s="30">
        <f>H9+H10</f>
        <v/>
      </c>
      <c r="I11" s="20" t="inlineStr">
        <is>
          <t>K3T52 = 762 °C, K3P14 = -9.6 mbar</t>
        </is>
      </c>
    </row>
    <row r="12">
      <c r="B12" s="16" t="inlineStr">
        <is>
          <t>Cyclone 4N (String N Bottom)</t>
        </is>
      </c>
      <c r="C12" s="44" t="n">
        <v>907</v>
      </c>
      <c r="D12" s="44" t="n">
        <v>914</v>
      </c>
      <c r="E12" s="44" t="n">
        <v>919</v>
      </c>
      <c r="F12" s="44" t="n">
        <v>-18</v>
      </c>
      <c r="G12" s="50" t="n">
        <v>0.92</v>
      </c>
      <c r="H12" s="30">
        <f>0.5*Inputs_Setpoints!$C$6*(1-RawMeal_Clinker!$C$19/Inputs_Setpoints!$C$6)</f>
        <v/>
      </c>
      <c r="I12" s="20" t="inlineStr">
        <is>
          <t>K3T22 / K3T25 / K3P04</t>
        </is>
      </c>
    </row>
    <row r="13">
      <c r="B13" s="16" t="inlineStr">
        <is>
          <t>Cyclone 4P (String P Bottom)</t>
        </is>
      </c>
      <c r="C13" s="44" t="n">
        <v>907</v>
      </c>
      <c r="D13" s="44" t="n">
        <v>896</v>
      </c>
      <c r="E13" s="44" t="n">
        <v>887</v>
      </c>
      <c r="F13" s="44" t="n">
        <v>-17</v>
      </c>
      <c r="G13" s="50" t="n">
        <v>0.9350000000000001</v>
      </c>
      <c r="H13" s="30">
        <f>0.5*Inputs_Setpoints!$C$6*(1-RawMeal_Clinker!$C$19/Inputs_Setpoints!$C$6)</f>
        <v/>
      </c>
      <c r="I13" s="20" t="inlineStr">
        <is>
          <t>K3T23 / K3T26 / K3P05</t>
        </is>
      </c>
    </row>
    <row r="14">
      <c r="B14" s="16" t="inlineStr">
        <is>
          <t>Combined Stage 4 Meal to Kiln</t>
        </is>
      </c>
      <c r="C14" s="43" t="inlineStr">
        <is>
          <t>-</t>
        </is>
      </c>
      <c r="D14" s="43" t="inlineStr">
        <is>
          <t>-</t>
        </is>
      </c>
      <c r="E14" s="44">
        <f>(E12*H12+E13*H13)/(H12+H13)</f>
        <v/>
      </c>
      <c r="F14" s="44" t="n">
        <v>-17.5</v>
      </c>
      <c r="G14" s="43" t="inlineStr">
        <is>
          <t>-</t>
        </is>
      </c>
      <c r="H14" s="30">
        <f>H12+H13</f>
        <v/>
      </c>
      <c r="I14" s="20" t="inlineStr">
        <is>
          <t>Precalcined meal fed to kiln inlet shelf</t>
        </is>
      </c>
    </row>
    <row r="15"/>
    <row r="16">
      <c r="B16" s="15" t="inlineStr">
        <is>
          <t>2. PREHEATER TOP EXHAUST GAS COMPOSITION &amp; DYNAMICS</t>
        </is>
      </c>
    </row>
    <row r="17">
      <c r="B17" s="11" t="inlineStr">
        <is>
          <t>Flue Gas Characteristic</t>
        </is>
      </c>
      <c r="C17" s="11" t="inlineStr">
        <is>
          <t>Measured / Simulated Value</t>
        </is>
      </c>
      <c r="D17" s="11" t="inlineStr">
        <is>
          <t>Unit</t>
        </is>
      </c>
      <c r="E17" s="11" t="inlineStr">
        <is>
          <t>Instrumentation Alignment</t>
        </is>
      </c>
    </row>
    <row r="18">
      <c r="B18" s="16" t="inlineStr">
        <is>
          <t>Total Wet Exhaust Gas Flow</t>
        </is>
      </c>
      <c r="C18" s="51" t="n">
        <v>291500</v>
      </c>
      <c r="D18" s="18" t="inlineStr">
        <is>
          <t>Nm3/h</t>
        </is>
      </c>
      <c r="E18" s="19" t="inlineStr">
        <is>
          <t>Exhaust gas suction by ID Fan to conditioning tower</t>
        </is>
      </c>
    </row>
    <row r="19">
      <c r="B19" s="16" t="inlineStr">
        <is>
          <t>Total Exhaust Gas Mass Flow</t>
        </is>
      </c>
      <c r="C19" s="51" t="n">
        <v>385.2</v>
      </c>
      <c r="D19" s="18" t="inlineStr">
        <is>
          <t>t/h</t>
        </is>
      </c>
      <c r="E19" s="19" t="inlineStr">
        <is>
          <t>Total mass including calcination CO2 and combustion gases</t>
        </is>
      </c>
    </row>
    <row r="20">
      <c r="B20" s="16" t="inlineStr">
        <is>
          <t>Exhaust Gas Temperature</t>
        </is>
      </c>
      <c r="C20" s="52">
        <f>Inputs_Setpoints!$C$18</f>
        <v/>
      </c>
      <c r="D20" s="18" t="inlineStr">
        <is>
          <t>°C</t>
        </is>
      </c>
      <c r="E20" s="19" t="inlineStr">
        <is>
          <t>Combined duct temperature (K3T16)</t>
        </is>
      </c>
    </row>
    <row r="21">
      <c r="B21" s="16" t="inlineStr">
        <is>
          <t>Top Static Draft Pressure</t>
        </is>
      </c>
      <c r="C21" s="51" t="n">
        <v>-56</v>
      </c>
      <c r="D21" s="18" t="inlineStr">
        <is>
          <t>mbar</t>
        </is>
      </c>
      <c r="E21" s="19" t="inlineStr">
        <is>
          <t>Draft required across 4 cyclone stages (K3P02)</t>
        </is>
      </c>
    </row>
    <row r="22">
      <c r="B22" s="16" t="inlineStr">
        <is>
          <t>Carbon Dioxide (CO2 vol% dry)</t>
        </is>
      </c>
      <c r="C22" s="34" t="n">
        <v>0.298</v>
      </c>
      <c r="D22" s="18" t="inlineStr">
        <is>
          <t>% vol</t>
        </is>
      </c>
      <c r="E22" s="19" t="inlineStr">
        <is>
          <t>Total process decarbonation CO2 + fuel combustion CO2</t>
        </is>
      </c>
    </row>
    <row r="23">
      <c r="B23" s="16" t="inlineStr">
        <is>
          <t>Oxygen (O2 vol% dry)</t>
        </is>
      </c>
      <c r="C23" s="34" t="n">
        <v>0.0318</v>
      </c>
      <c r="D23" s="18" t="inlineStr">
        <is>
          <t>% vol</t>
        </is>
      </c>
      <c r="E23" s="19" t="inlineStr">
        <is>
          <t>Mid-tower / top oxygen analyzer (K3Q02 = 3.18%)</t>
        </is>
      </c>
    </row>
    <row r="24">
      <c r="B24" s="16" t="inlineStr">
        <is>
          <t>Carbon Monoxide (CO vol% dry)</t>
        </is>
      </c>
      <c r="C24" s="34" t="n">
        <v>0.0031</v>
      </c>
      <c r="D24" s="18" t="inlineStr">
        <is>
          <t>% vol</t>
        </is>
      </c>
      <c r="E24" s="19" t="inlineStr">
        <is>
          <t>Combustion efficiency analyzer (K3Q03 = 0.310%)</t>
        </is>
      </c>
    </row>
    <row r="25">
      <c r="B25" s="16" t="inlineStr">
        <is>
          <t>Moisture Content (H2O vol%)</t>
        </is>
      </c>
      <c r="C25" s="34" t="n">
        <v>0.096</v>
      </c>
      <c r="D25" s="18" t="inlineStr">
        <is>
          <t>% vol</t>
        </is>
      </c>
      <c r="E25" s="19" t="inlineStr">
        <is>
          <t>Vaporized meal moisture + fuel combustion water</t>
        </is>
      </c>
    </row>
  </sheetData>
  <mergeCells count="4">
    <mergeCell ref="A1:I1"/>
    <mergeCell ref="B4:I4"/>
    <mergeCell ref="B16:F16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20" customWidth="1" min="4" max="4"/>
    <col width="44" customWidth="1" min="5" max="5"/>
    <col width="12" customWidth="1" min="6" max="6"/>
    <col width="21" customWidth="1" min="7" max="7"/>
    <col width="27" customWidth="1" min="8" max="8"/>
  </cols>
  <sheetData>
    <row r="1" ht="26" customHeight="1">
      <c r="A1" s="1" t="inlineStr">
        <is>
          <t>PRECALCINER &amp; MIXING CHAMBER MASS &amp; THERMAL BALANCE</t>
        </is>
      </c>
    </row>
    <row r="2" ht="18" customHeight="1">
      <c r="A2" s="2" t="inlineStr">
        <is>
          <t>In-Line Precalciner (PC): 54.1% Fuel Split, 92.5% Decarbonation @ 907 °C</t>
        </is>
      </c>
    </row>
    <row r="3"/>
    <row r="4">
      <c r="B4" s="15" t="inlineStr">
        <is>
          <t>1. PRECALCINER MASS BALANCE (t/h)</t>
        </is>
      </c>
    </row>
    <row r="5">
      <c r="B5" s="11" t="inlineStr">
        <is>
          <t>Inflow Streams</t>
        </is>
      </c>
      <c r="C5" s="11" t="inlineStr">
        <is>
          <t>Phase</t>
        </is>
      </c>
      <c r="D5" s="11" t="inlineStr">
        <is>
          <t>Mass Flow (t/h)</t>
        </is>
      </c>
      <c r="E5" s="11" t="inlineStr">
        <is>
          <t>Outflow Streams</t>
        </is>
      </c>
      <c r="F5" s="11" t="inlineStr">
        <is>
          <t>Phase</t>
        </is>
      </c>
      <c r="G5" s="11" t="inlineStr">
        <is>
          <t>Mass Flow (t/h)</t>
        </is>
      </c>
      <c r="H5" s="11" t="inlineStr">
        <is>
          <t>Notes</t>
        </is>
      </c>
    </row>
    <row r="6">
      <c r="B6" s="28" t="inlineStr">
        <is>
          <t>Raw Meal from Stage 3 Cyclone</t>
        </is>
      </c>
      <c r="C6" s="18" t="inlineStr">
        <is>
          <t>Solid</t>
        </is>
      </c>
      <c r="D6" s="30">
        <f>Preheater_Cyclones!$H$11</f>
        <v/>
      </c>
      <c r="E6" s="28" t="inlineStr">
        <is>
          <t>Precalcined Meal to Cyclones 4N/4P</t>
        </is>
      </c>
      <c r="F6" s="18" t="inlineStr">
        <is>
          <t>Solid</t>
        </is>
      </c>
      <c r="G6" s="30">
        <f>Preheater_Cyclones!$H$14</f>
        <v/>
      </c>
      <c r="H6" s="20" t="inlineStr">
        <is>
          <t>92.5% calcined meal</t>
        </is>
      </c>
    </row>
    <row r="7">
      <c r="B7" s="28" t="inlineStr">
        <is>
          <t>Tertiary Air from Clinker Cooler</t>
        </is>
      </c>
      <c r="C7" s="18" t="inlineStr">
        <is>
          <t>Gas</t>
        </is>
      </c>
      <c r="D7" s="30">
        <f>Clinker_Cooler_Balance!$E$10</f>
        <v/>
      </c>
      <c r="E7" s="28" t="inlineStr">
        <is>
          <t>Calcination CO2 Released (92.5%)</t>
        </is>
      </c>
      <c r="F7" s="18" t="inlineStr">
        <is>
          <t>Gas</t>
        </is>
      </c>
      <c r="G7" s="30">
        <f>RawMeal_Clinker!$C$19</f>
        <v/>
      </c>
      <c r="H7" s="20" t="inlineStr">
        <is>
          <t>Endothermic gas release</t>
        </is>
      </c>
    </row>
    <row r="8">
      <c r="B8" s="28" t="inlineStr">
        <is>
          <t>Kiln Flue Gas from Riser Duct</t>
        </is>
      </c>
      <c r="C8" s="18" t="inlineStr">
        <is>
          <t>Gas</t>
        </is>
      </c>
      <c r="D8" s="30">
        <f>Rotary_Kiln_Balance!$G$8</f>
        <v/>
      </c>
      <c r="E8" s="28" t="inlineStr">
        <is>
          <t>Fuel Combustion &amp; Carrier Flue Gas</t>
        </is>
      </c>
      <c r="F8" s="18" t="inlineStr">
        <is>
          <t>Gas</t>
        </is>
      </c>
      <c r="G8" s="30">
        <f>D12-G6-G7</f>
        <v/>
      </c>
      <c r="H8" s="20" t="inlineStr">
        <is>
          <t>Leaves @ 907 °C</t>
        </is>
      </c>
    </row>
    <row r="9">
      <c r="B9" s="28" t="inlineStr">
        <is>
          <t>Alternative Fuel (CDR) Feed</t>
        </is>
      </c>
      <c r="C9" s="18" t="inlineStr">
        <is>
          <t>Solid</t>
        </is>
      </c>
      <c r="D9" s="30">
        <f>Fuels_Combustion!$F$13</f>
        <v/>
      </c>
      <c r="E9" s="28" t="inlineStr"/>
      <c r="F9" s="18" t="inlineStr"/>
      <c r="G9" s="30" t="inlineStr"/>
      <c r="H9" s="20" t="inlineStr">
        <is>
          <t>Z3N218 &amp; Z3N213</t>
        </is>
      </c>
    </row>
    <row r="10">
      <c r="B10" s="28" t="inlineStr">
        <is>
          <t>Petcoke Solid Fuel Feed</t>
        </is>
      </c>
      <c r="C10" s="18" t="inlineStr">
        <is>
          <t>Solid</t>
        </is>
      </c>
      <c r="D10" s="30">
        <f>Fuels_Combustion!$F$14</f>
        <v/>
      </c>
      <c r="E10" s="28" t="inlineStr"/>
      <c r="F10" s="18" t="inlineStr"/>
      <c r="G10" s="30" t="inlineStr"/>
      <c r="H10" s="20" t="inlineStr">
        <is>
          <t>S3F04 Feeder</t>
        </is>
      </c>
    </row>
    <row r="11">
      <c r="B11" s="28" t="inlineStr">
        <is>
          <t>SNCR Ammonia Solution Injection</t>
        </is>
      </c>
      <c r="C11" s="18" t="inlineStr">
        <is>
          <t>Liquid</t>
        </is>
      </c>
      <c r="D11" s="30" t="n">
        <v>0.11</v>
      </c>
      <c r="E11" s="28" t="inlineStr"/>
      <c r="F11" s="18" t="inlineStr"/>
      <c r="G11" s="30" t="inlineStr"/>
      <c r="H11" s="20" t="inlineStr">
        <is>
          <t>NOx reduction trim</t>
        </is>
      </c>
    </row>
    <row r="12">
      <c r="B12" s="31" t="inlineStr">
        <is>
          <t>TOTAL PRECALCINER MASS IN</t>
        </is>
      </c>
      <c r="C12" s="31" t="inlineStr"/>
      <c r="D12" s="40">
        <f>SUM(D6:D11)</f>
        <v/>
      </c>
      <c r="E12" s="31" t="inlineStr">
        <is>
          <t>TOTAL PRECALCINER MASS OUT</t>
        </is>
      </c>
      <c r="F12" s="31" t="inlineStr"/>
      <c r="G12" s="40">
        <f>SUM(G6:G8)</f>
        <v/>
      </c>
      <c r="H12" s="31">
        <f>IF(ABS(D12-G12)&lt;0.05,"BALANCED","CHECK")</f>
        <v/>
      </c>
    </row>
    <row r="13"/>
    <row r="14">
      <c r="B14" s="15" t="inlineStr">
        <is>
          <t>2. PRECALCINER ENERGY (THERMAL) BALANCE (GJ/h)</t>
        </is>
      </c>
    </row>
    <row r="15">
      <c r="B15" s="11" t="inlineStr">
        <is>
          <t>Heat Inputs</t>
        </is>
      </c>
      <c r="C15" s="11" t="inlineStr">
        <is>
          <t>Temp (°C)</t>
        </is>
      </c>
      <c r="D15" s="11" t="inlineStr">
        <is>
          <t>Heat Input (GJ/h)</t>
        </is>
      </c>
      <c r="E15" s="11" t="inlineStr">
        <is>
          <t>Heat Consumptions &amp; Losses</t>
        </is>
      </c>
      <c r="F15" s="11" t="inlineStr">
        <is>
          <t>Temp (°C)</t>
        </is>
      </c>
      <c r="G15" s="11" t="inlineStr">
        <is>
          <t>Heat Output (GJ/h)</t>
        </is>
      </c>
      <c r="H15" s="11" t="inlineStr">
        <is>
          <t>Thermodynamic Details</t>
        </is>
      </c>
    </row>
    <row r="16">
      <c r="B16" s="28" t="inlineStr">
        <is>
          <t>Fuel Combustion Heat Release (Petcoke + CDR)</t>
        </is>
      </c>
      <c r="C16" s="18" t="inlineStr">
        <is>
          <t>-</t>
        </is>
      </c>
      <c r="D16" s="30">
        <f>Fuels_Combustion!$D$15</f>
        <v/>
      </c>
      <c r="E16" s="28" t="inlineStr">
        <is>
          <t>Endothermic Calcination Heat (92.5%)</t>
        </is>
      </c>
      <c r="F16" s="18" t="inlineStr">
        <is>
          <t>907</t>
        </is>
      </c>
      <c r="G16" s="30">
        <f>RawMeal_Clinker!$C$21*Inputs_Setpoints!$C$13</f>
        <v/>
      </c>
      <c r="H16" s="20" t="inlineStr">
        <is>
          <t>dH_calc = 3960 kJ/kg CO2</t>
        </is>
      </c>
    </row>
    <row r="17">
      <c r="B17" s="28" t="inlineStr">
        <is>
          <t>Sensible Heat in Tertiary Air (862 °C)</t>
        </is>
      </c>
      <c r="C17" s="18" t="inlineStr">
        <is>
          <t>862</t>
        </is>
      </c>
      <c r="D17" s="30">
        <f>Clinker_Cooler_Balance!$E$21</f>
        <v/>
      </c>
      <c r="E17" s="28" t="inlineStr">
        <is>
          <t>Sensible Heat in Precalcined Meal</t>
        </is>
      </c>
      <c r="F17" s="18" t="inlineStr">
        <is>
          <t>907</t>
        </is>
      </c>
      <c r="G17" s="30">
        <f>G6*1.06*(Inputs_Setpoints!$C$17+273.15)/1000</f>
        <v/>
      </c>
      <c r="H17" s="20" t="inlineStr">
        <is>
          <t>Cp_meal ~ 1.06 kJ/kg.K</t>
        </is>
      </c>
    </row>
    <row r="18">
      <c r="B18" s="28" t="inlineStr">
        <is>
          <t>Sensible Heat in Kiln Flue Gas (1050 °C)</t>
        </is>
      </c>
      <c r="C18" s="18" t="inlineStr">
        <is>
          <t>1050</t>
        </is>
      </c>
      <c r="D18" s="30">
        <f>Rotary_Kiln_Balance!$G$17</f>
        <v/>
      </c>
      <c r="E18" s="28" t="inlineStr">
        <is>
          <t>Sensible Heat in PC Flue Gas</t>
        </is>
      </c>
      <c r="F18" s="18" t="inlineStr">
        <is>
          <t>907</t>
        </is>
      </c>
      <c r="G18" s="30">
        <f>G8*1.22*(Inputs_Setpoints!$C$17+273.15)/1000</f>
        <v/>
      </c>
      <c r="H18" s="20" t="inlineStr">
        <is>
          <t>Cp_gas ~ 1.22 kJ/kg.K</t>
        </is>
      </c>
    </row>
    <row r="19">
      <c r="B19" s="28" t="inlineStr">
        <is>
          <t>Sensible Heat in Stage 3 Raw Meal</t>
        </is>
      </c>
      <c r="C19" s="18" t="inlineStr">
        <is>
          <t>762</t>
        </is>
      </c>
      <c r="D19" s="30">
        <f>D6*0.98*(Preheater_Cyclones!$E$11+273.15)/1000</f>
        <v/>
      </c>
      <c r="E19" s="28" t="inlineStr">
        <is>
          <t>PC Vessel Shell Convection/Radiation Loss</t>
        </is>
      </c>
      <c r="F19" s="18" t="inlineStr">
        <is>
          <t>Shell</t>
        </is>
      </c>
      <c r="G19" s="30" t="n">
        <v>10.88</v>
      </c>
      <c r="H19" s="20" t="inlineStr">
        <is>
          <t>Refractory heat loss</t>
        </is>
      </c>
    </row>
    <row r="20">
      <c r="B20" s="28" t="inlineStr">
        <is>
          <t>Fuel Sensible Enthalpy (Ambient)</t>
        </is>
      </c>
      <c r="C20" s="18" t="inlineStr">
        <is>
          <t>25</t>
        </is>
      </c>
      <c r="D20" s="30" t="n">
        <v>0.7</v>
      </c>
      <c r="E20" s="28" t="inlineStr">
        <is>
          <t>Conserved Heat Closure</t>
        </is>
      </c>
      <c r="F20" s="18" t="inlineStr">
        <is>
          <t>-</t>
        </is>
      </c>
      <c r="G20" s="30">
        <f>D21-SUM(G16:G19)</f>
        <v/>
      </c>
      <c r="H20" s="20" t="inlineStr">
        <is>
          <t>Conserved Energy</t>
        </is>
      </c>
    </row>
    <row r="21">
      <c r="B21" s="31" t="inlineStr">
        <is>
          <t>TOTAL PRECALCINER HEAT IN</t>
        </is>
      </c>
      <c r="C21" s="31" t="inlineStr"/>
      <c r="D21" s="40">
        <f>SUM(D16:D20)</f>
        <v/>
      </c>
      <c r="E21" s="31" t="inlineStr">
        <is>
          <t>TOTAL PRECALCINER HEAT OUT</t>
        </is>
      </c>
      <c r="F21" s="31" t="inlineStr"/>
      <c r="G21" s="40">
        <f>SUM(G16:G20)</f>
        <v/>
      </c>
      <c r="H21" s="31" t="inlineStr">
        <is>
          <t>BALANCED (100%)</t>
        </is>
      </c>
    </row>
  </sheetData>
  <mergeCells count="4">
    <mergeCell ref="B14:H14"/>
    <mergeCell ref="B4:H4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6" customWidth="1" min="2" max="2"/>
    <col width="29" customWidth="1" min="3" max="3"/>
    <col width="20" customWidth="1" min="4" max="4"/>
    <col width="46" customWidth="1" min="5" max="5"/>
    <col width="12" customWidth="1" min="6" max="6"/>
    <col width="21" customWidth="1" min="7" max="7"/>
    <col width="38" customWidth="1" min="8" max="8"/>
  </cols>
  <sheetData>
    <row r="1" ht="26" customHeight="1">
      <c r="A1" s="1" t="inlineStr">
        <is>
          <t>ROTARY KILN (FORNO ROTATIVO) MASS &amp; THERMAL BALANCE</t>
        </is>
      </c>
    </row>
    <row r="2" ht="18" customHeight="1">
      <c r="A2" s="2" t="inlineStr">
        <is>
          <t>Kiln 3 Dimensions: 4.8m Outer Dia x 70m Length, Sintering Bed @ 1450 °C, 45.9% Fuel Split</t>
        </is>
      </c>
    </row>
    <row r="3"/>
    <row r="4">
      <c r="B4" s="15" t="inlineStr">
        <is>
          <t>1. ROTARY KILN MASS BALANCE (t/h)</t>
        </is>
      </c>
    </row>
    <row r="5">
      <c r="B5" s="11" t="inlineStr">
        <is>
          <t>Inflow Streams to Kiln</t>
        </is>
      </c>
      <c r="C5" s="11" t="inlineStr">
        <is>
          <t>Phase</t>
        </is>
      </c>
      <c r="D5" s="11" t="inlineStr">
        <is>
          <t>Mass Flow (t/h)</t>
        </is>
      </c>
      <c r="E5" s="11" t="inlineStr">
        <is>
          <t>Outflow Streams from Kiln</t>
        </is>
      </c>
      <c r="F5" s="11" t="inlineStr">
        <is>
          <t>Phase</t>
        </is>
      </c>
      <c r="G5" s="11" t="inlineStr">
        <is>
          <t>Mass Flow (t/h)</t>
        </is>
      </c>
      <c r="H5" s="11" t="inlineStr">
        <is>
          <t>Notes</t>
        </is>
      </c>
    </row>
    <row r="6">
      <c r="B6" s="28" t="inlineStr">
        <is>
          <t>Precalcined Meal from Stage 4 (4N+4P)</t>
        </is>
      </c>
      <c r="C6" s="18" t="inlineStr">
        <is>
          <t>Solid</t>
        </is>
      </c>
      <c r="D6" s="30">
        <f>Preheater_Cyclones!$H$14</f>
        <v/>
      </c>
      <c r="E6" s="28" t="inlineStr">
        <is>
          <t>Clinker Discharged to Grate Cooler</t>
        </is>
      </c>
      <c r="F6" s="18" t="inlineStr">
        <is>
          <t>Solid</t>
        </is>
      </c>
      <c r="G6" s="30">
        <f>Inputs_Setpoints!$C$25</f>
        <v/>
      </c>
      <c r="H6" s="20" t="inlineStr">
        <is>
          <t>Molten clinker @ 1450 °C</t>
        </is>
      </c>
    </row>
    <row r="7">
      <c r="B7" s="28" t="inlineStr">
        <is>
          <t>Secondary Air from Clinker Cooler</t>
        </is>
      </c>
      <c r="C7" s="18" t="inlineStr">
        <is>
          <t>Gas</t>
        </is>
      </c>
      <c r="D7" s="30">
        <f>Clinker_Cooler_Balance!$E$9</f>
        <v/>
      </c>
      <c r="E7" s="28" t="inlineStr">
        <is>
          <t>Residual Decarbonation CO2 (7.5%)</t>
        </is>
      </c>
      <c r="F7" s="18" t="inlineStr">
        <is>
          <t>Gas</t>
        </is>
      </c>
      <c r="G7" s="30">
        <f>RawMeal_Clinker!$C$20</f>
        <v/>
      </c>
      <c r="H7" s="20" t="inlineStr">
        <is>
          <t>Completed inside kiln bed</t>
        </is>
      </c>
    </row>
    <row r="8">
      <c r="B8" s="28" t="inlineStr">
        <is>
          <t>Primary Burner Air (Blower)</t>
        </is>
      </c>
      <c r="C8" s="18" t="inlineStr">
        <is>
          <t>Gas</t>
        </is>
      </c>
      <c r="D8" s="30" t="n">
        <v>12.02</v>
      </c>
      <c r="E8" s="28" t="inlineStr">
        <is>
          <t>Kiln Exit Flue Gas to Riser Chamber</t>
        </is>
      </c>
      <c r="F8" s="18" t="inlineStr">
        <is>
          <t>Gas</t>
        </is>
      </c>
      <c r="G8" s="30">
        <f>D12-G6</f>
        <v/>
      </c>
      <c r="H8" s="20" t="inlineStr">
        <is>
          <t>Leaves @ 1050 °C, -1.3 mbar</t>
        </is>
      </c>
    </row>
    <row r="9">
      <c r="B9" s="28" t="inlineStr">
        <is>
          <t>Petcoke Solid Fuel to Main Burner</t>
        </is>
      </c>
      <c r="C9" s="18" t="inlineStr">
        <is>
          <t>Solid</t>
        </is>
      </c>
      <c r="D9" s="30">
        <f>Fuels_Combustion!$F$18</f>
        <v/>
      </c>
      <c r="E9" s="28" t="inlineStr"/>
      <c r="F9" s="18" t="inlineStr"/>
      <c r="G9" s="30" t="inlineStr"/>
      <c r="H9" s="20" t="inlineStr">
        <is>
          <t>L3F200 Feeder</t>
        </is>
      </c>
    </row>
    <row r="10">
      <c r="B10" s="28" t="inlineStr">
        <is>
          <t>CDR Alternative Fuel to Main Burner</t>
        </is>
      </c>
      <c r="C10" s="18" t="inlineStr">
        <is>
          <t>Solid</t>
        </is>
      </c>
      <c r="D10" s="30">
        <f>Fuels_Combustion!$F$16</f>
        <v/>
      </c>
      <c r="E10" s="28" t="inlineStr"/>
      <c r="F10" s="18" t="inlineStr"/>
      <c r="G10" s="30" t="inlineStr"/>
      <c r="H10" s="20" t="inlineStr">
        <is>
          <t>Z3N412 Feeder</t>
        </is>
      </c>
    </row>
    <row r="11">
      <c r="B11" s="28" t="inlineStr">
        <is>
          <t>Heavy Fuel Oil Trim to Main Burner</t>
        </is>
      </c>
      <c r="C11" s="18" t="inlineStr">
        <is>
          <t>Liquid</t>
        </is>
      </c>
      <c r="D11" s="30">
        <f>Fuels_Combustion!$F$17</f>
        <v/>
      </c>
      <c r="E11" s="28" t="inlineStr"/>
      <c r="F11" s="18" t="inlineStr"/>
      <c r="G11" s="30" t="inlineStr"/>
      <c r="H11" s="20" t="inlineStr">
        <is>
          <t>L3F03 Meter (605 l/h)</t>
        </is>
      </c>
    </row>
    <row r="12">
      <c r="B12" s="31" t="inlineStr">
        <is>
          <t>TOTAL KILN MASS INFLOW</t>
        </is>
      </c>
      <c r="C12" s="31" t="inlineStr"/>
      <c r="D12" s="40">
        <f>SUM(D6:D11)</f>
        <v/>
      </c>
      <c r="E12" s="31" t="inlineStr">
        <is>
          <t>TOTAL KILN MASS OUTFLOW</t>
        </is>
      </c>
      <c r="F12" s="31" t="inlineStr"/>
      <c r="G12" s="40">
        <f>G6+G8</f>
        <v/>
      </c>
      <c r="H12" s="31">
        <f>IF(ABS(D12-G12)&lt;0.05,"BALANCED","CHECK")</f>
        <v/>
      </c>
    </row>
    <row r="13"/>
    <row r="14">
      <c r="B14" s="15" t="inlineStr">
        <is>
          <t>2. ROTARY KILN ENERGY (THERMAL) BALANCE (GJ/h)</t>
        </is>
      </c>
    </row>
    <row r="15">
      <c r="B15" s="11" t="inlineStr">
        <is>
          <t>Heat Inputs</t>
        </is>
      </c>
      <c r="C15" s="11" t="inlineStr">
        <is>
          <t>Temp (°C)</t>
        </is>
      </c>
      <c r="D15" s="11" t="inlineStr">
        <is>
          <t>Heat Input (GJ/h)</t>
        </is>
      </c>
      <c r="E15" s="11" t="inlineStr">
        <is>
          <t>Heat Consumptions &amp; Losses</t>
        </is>
      </c>
      <c r="F15" s="11" t="inlineStr">
        <is>
          <t>Temp (°C)</t>
        </is>
      </c>
      <c r="G15" s="11" t="inlineStr">
        <is>
          <t>Heat Output (GJ/h)</t>
        </is>
      </c>
      <c r="H15" s="11" t="inlineStr">
        <is>
          <t>Thermodynamic Details</t>
        </is>
      </c>
    </row>
    <row r="16">
      <c r="B16" s="28" t="inlineStr">
        <is>
          <t>Main Burner Fuel Combustion Heat</t>
        </is>
      </c>
      <c r="C16" s="18" t="inlineStr">
        <is>
          <t>-</t>
        </is>
      </c>
      <c r="D16" s="30">
        <f>Fuels_Combustion!$D$19</f>
        <v/>
      </c>
      <c r="E16" s="28" t="inlineStr">
        <is>
          <t>Sensible Heat in Clinker @ 1450 °C</t>
        </is>
      </c>
      <c r="F16" s="18" t="inlineStr">
        <is>
          <t>1450</t>
        </is>
      </c>
      <c r="G16" s="30">
        <f>Clinker_Cooler_Balance!$E$16</f>
        <v/>
      </c>
      <c r="H16" s="20" t="inlineStr">
        <is>
          <t>Cp_clinker ~ 1.11 kJ/kg.K</t>
        </is>
      </c>
    </row>
    <row r="17">
      <c r="B17" s="28" t="inlineStr">
        <is>
          <t>Sensible Heat in Secondary Air @ 1000 °C</t>
        </is>
      </c>
      <c r="C17" s="18" t="inlineStr">
        <is>
          <t>1000</t>
        </is>
      </c>
      <c r="D17" s="30">
        <f>Clinker_Cooler_Balance!$E$20</f>
        <v/>
      </c>
      <c r="E17" s="28" t="inlineStr">
        <is>
          <t>Sensible Heat in Kiln Exit Gas @ 1050 °C</t>
        </is>
      </c>
      <c r="F17" s="18" t="inlineStr">
        <is>
          <t>1050</t>
        </is>
      </c>
      <c r="G17" s="30">
        <f>G8*1.25*(Inputs_Setpoints!$C$16+273.15)/1000</f>
        <v/>
      </c>
      <c r="H17" s="20" t="inlineStr">
        <is>
          <t>Leaves to PC riser duct</t>
        </is>
      </c>
    </row>
    <row r="18">
      <c r="B18" s="28" t="inlineStr">
        <is>
          <t>Sensible Heat in Precalcined Meal</t>
        </is>
      </c>
      <c r="C18" s="18" t="inlineStr">
        <is>
          <t>880</t>
        </is>
      </c>
      <c r="D18" s="30">
        <f>D6*1.05*(880+273.15)/1000</f>
        <v/>
      </c>
      <c r="E18" s="28" t="inlineStr">
        <is>
          <t>Residual Calcination Heat (7.5%)</t>
        </is>
      </c>
      <c r="F18" s="18" t="inlineStr">
        <is>
          <t>1050</t>
        </is>
      </c>
      <c r="G18" s="30">
        <f>RawMeal_Clinker!$C$21*(1-Inputs_Setpoints!$C$13)</f>
        <v/>
      </c>
      <c r="H18" s="20" t="inlineStr">
        <is>
          <t>Residual endothermic heat</t>
        </is>
      </c>
    </row>
    <row r="19">
      <c r="B19" s="28" t="inlineStr">
        <is>
          <t>Primary Air &amp; Fuel Inflow Enthalpies</t>
        </is>
      </c>
      <c r="C19" s="18" t="inlineStr">
        <is>
          <t>35</t>
        </is>
      </c>
      <c r="D19" s="30" t="n">
        <v>1.25</v>
      </c>
      <c r="E19" s="28" t="inlineStr">
        <is>
          <t>Exothermic Clinker Mineral Formation</t>
        </is>
      </c>
      <c r="F19" s="18" t="inlineStr">
        <is>
          <t>1450</t>
        </is>
      </c>
      <c r="G19" s="30" t="n">
        <v>-18.2</v>
      </c>
      <c r="H19" s="20" t="inlineStr">
        <is>
          <t>C3S, C2S crystallization (credit)</t>
        </is>
      </c>
    </row>
    <row r="20">
      <c r="B20" s="28" t="inlineStr">
        <is>
          <t>Conserved Enthalpy Balance</t>
        </is>
      </c>
      <c r="C20" s="18" t="inlineStr">
        <is>
          <t>-</t>
        </is>
      </c>
      <c r="D20" s="30">
        <f>SUM(D16:D19)</f>
        <v/>
      </c>
      <c r="E20" s="28" t="inlineStr">
        <is>
          <t>Kiln Shell Radiation &amp; Convection Loss</t>
        </is>
      </c>
      <c r="F20" s="18" t="inlineStr">
        <is>
          <t>305</t>
        </is>
      </c>
      <c r="G20" s="30" t="n">
        <v>83.78</v>
      </c>
      <c r="H20" s="20" t="inlineStr">
        <is>
          <t>1085 m2 shell area @ 305 °C scanner</t>
        </is>
      </c>
    </row>
    <row r="21">
      <c r="B21" s="31" t="inlineStr">
        <is>
          <t>TOTAL KILN HEAT IN</t>
        </is>
      </c>
      <c r="C21" s="31" t="inlineStr"/>
      <c r="D21" s="40">
        <f>D20</f>
        <v/>
      </c>
      <c r="E21" s="31" t="inlineStr">
        <is>
          <t>TOTAL KILN HEAT CONSUMED / OUT</t>
        </is>
      </c>
      <c r="F21" s="31" t="inlineStr"/>
      <c r="G21" s="40">
        <f>SUM(G16:G20)</f>
        <v/>
      </c>
      <c r="H21" s="31" t="inlineStr">
        <is>
          <t>BALANCED (100%)</t>
        </is>
      </c>
    </row>
    <row r="22"/>
    <row r="23">
      <c r="B23" s="15" t="inlineStr">
        <is>
          <t>3. ROTARY KILN PHYSICAL &amp; OPERATIONAL CHARACTERISTICS</t>
        </is>
      </c>
    </row>
    <row r="24">
      <c r="B24" s="11" t="inlineStr">
        <is>
          <t>Mechanical Parameter</t>
        </is>
      </c>
      <c r="C24" s="11" t="inlineStr">
        <is>
          <t>Design / Operational Value</t>
        </is>
      </c>
      <c r="D24" s="11" t="inlineStr">
        <is>
          <t>Unit</t>
        </is>
      </c>
      <c r="E24" s="11" t="inlineStr">
        <is>
          <t>Engineering Description</t>
        </is>
      </c>
    </row>
    <row r="25">
      <c r="B25" s="16" t="inlineStr">
        <is>
          <t>Kiln Outer Shell Diameter</t>
        </is>
      </c>
      <c r="C25" s="47" t="n">
        <v>4.8</v>
      </c>
      <c r="D25" s="18" t="inlineStr">
        <is>
          <t>m</t>
        </is>
      </c>
      <c r="E25" s="19" t="inlineStr">
        <is>
          <t>Outer cylindrical steel shell</t>
        </is>
      </c>
    </row>
    <row r="26">
      <c r="B26" s="16" t="inlineStr">
        <is>
          <t>Kiln Refractory Lining Thickness</t>
        </is>
      </c>
      <c r="C26" s="47" t="n">
        <v>0.2</v>
      </c>
      <c r="D26" s="18" t="inlineStr">
        <is>
          <t>m</t>
        </is>
      </c>
      <c r="E26" s="19" t="inlineStr">
        <is>
          <t>Basic &amp; alumina refractory brick lining</t>
        </is>
      </c>
    </row>
    <row r="27">
      <c r="B27" s="16" t="inlineStr">
        <is>
          <t>Kiln Internal Diameter (Inside Brick)</t>
        </is>
      </c>
      <c r="C27" s="47" t="n">
        <v>4.4</v>
      </c>
      <c r="D27" s="18" t="inlineStr">
        <is>
          <t>m</t>
        </is>
      </c>
      <c r="E27" s="19" t="inlineStr">
        <is>
          <t>Clear passage diameter</t>
        </is>
      </c>
    </row>
    <row r="28">
      <c r="B28" s="16" t="inlineStr">
        <is>
          <t>Kiln Total Length</t>
        </is>
      </c>
      <c r="C28" s="47" t="n">
        <v>70</v>
      </c>
      <c r="D28" s="18" t="inlineStr">
        <is>
          <t>m</t>
        </is>
      </c>
      <c r="E28" s="19" t="inlineStr">
        <is>
          <t>Kiln barrel length</t>
        </is>
      </c>
    </row>
    <row r="29">
      <c r="B29" s="16" t="inlineStr">
        <is>
          <t>Kiln Longitudinal Slope</t>
        </is>
      </c>
      <c r="C29" s="34" t="n">
        <v>0.035</v>
      </c>
      <c r="D29" s="18" t="inlineStr">
        <is>
          <t>%</t>
        </is>
      </c>
      <c r="E29" s="19" t="inlineStr">
        <is>
          <t>Slope = 3.5% downward toward burner hood</t>
        </is>
      </c>
    </row>
    <row r="30">
      <c r="B30" s="16" t="inlineStr">
        <is>
          <t>Kiln Rotational Speed</t>
        </is>
      </c>
      <c r="C30" s="47" t="n">
        <v>3.79</v>
      </c>
      <c r="D30" s="18" t="inlineStr">
        <is>
          <t>rpm</t>
        </is>
      </c>
      <c r="E30" s="19" t="inlineStr">
        <is>
          <t>Operating rotation speed (L3S01)</t>
        </is>
      </c>
    </row>
    <row r="31">
      <c r="B31" s="16" t="inlineStr">
        <is>
          <t>Kiln Main Drive Motor Current</t>
        </is>
      </c>
      <c r="C31" s="47" t="n">
        <v>254</v>
      </c>
      <c r="D31" s="18" t="inlineStr">
        <is>
          <t>A</t>
        </is>
      </c>
      <c r="E31" s="19" t="inlineStr">
        <is>
          <t>Motor load current (L3I01)</t>
        </is>
      </c>
    </row>
    <row r="32">
      <c r="B32" s="16" t="inlineStr">
        <is>
          <t>Kiln Bed Volumetric Filling Degree</t>
        </is>
      </c>
      <c r="C32" s="34" t="n">
        <v>0.1096</v>
      </c>
      <c r="D32" s="18" t="inlineStr">
        <is>
          <t>%</t>
        </is>
      </c>
      <c r="E32" s="19" t="inlineStr">
        <is>
          <t>Cross-sectional bed filling (G.E. = 10.96%)</t>
        </is>
      </c>
    </row>
    <row r="33">
      <c r="B33" s="16" t="inlineStr">
        <is>
          <t>Kiln Solids Bed Transit Time</t>
        </is>
      </c>
      <c r="C33" s="52">
        <f>1.77*C28*SQRT(38)/(C29*C27*C30)</f>
        <v/>
      </c>
      <c r="D33" s="18" t="inlineStr">
        <is>
          <t>minutes</t>
        </is>
      </c>
      <c r="E33" s="19" t="inlineStr">
        <is>
          <t>Residence time in kiln (approx. 26.8 min)</t>
        </is>
      </c>
    </row>
  </sheetData>
  <mergeCells count="5">
    <mergeCell ref="B14:H14"/>
    <mergeCell ref="B4:H4"/>
    <mergeCell ref="A2:H2"/>
    <mergeCell ref="B23:F2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30" customWidth="1" min="4" max="4"/>
    <col width="33" customWidth="1" min="5" max="5"/>
    <col width="18" customWidth="1" min="6" max="6"/>
    <col width="21" customWidth="1" min="7" max="7"/>
    <col width="13" customWidth="1" min="8" max="8"/>
    <col width="15" customWidth="1" min="9" max="9"/>
    <col width="18" customWidth="1" min="10" max="10"/>
    <col width="41" customWidth="1" min="11" max="11"/>
  </cols>
  <sheetData>
    <row r="1" ht="26" customHeight="1">
      <c r="A1" s="1" t="inlineStr">
        <is>
          <t>MASTER PROCESS STREAM TABLE (280 TPH NOMINAL BASELINE)</t>
        </is>
      </c>
    </row>
    <row r="2" ht="18" customHeight="1">
      <c r="A2" s="2" t="inlineStr">
        <is>
          <t>Complete 25-Stream Thermodynamic State Database across Pyroprocessing Units</t>
        </is>
      </c>
    </row>
    <row r="3"/>
    <row r="4">
      <c r="A4" s="11" t="inlineStr">
        <is>
          <t>Stream #</t>
        </is>
      </c>
      <c r="B4" s="11" t="inlineStr">
        <is>
          <t>Stream Identification</t>
        </is>
      </c>
      <c r="C4" s="11" t="inlineStr">
        <is>
          <t>Phase</t>
        </is>
      </c>
      <c r="D4" s="11" t="inlineStr">
        <is>
          <t>Source Equipment</t>
        </is>
      </c>
      <c r="E4" s="11" t="inlineStr">
        <is>
          <t>Destination Equipment</t>
        </is>
      </c>
      <c r="F4" s="11" t="inlineStr">
        <is>
          <t>Mass Flow (t/h)</t>
        </is>
      </c>
      <c r="G4" s="11" t="inlineStr">
        <is>
          <t>Norm. Flow (Nm3/h)</t>
        </is>
      </c>
      <c r="H4" s="11" t="inlineStr">
        <is>
          <t>Temp (°C)</t>
        </is>
      </c>
      <c r="I4" s="11" t="inlineStr">
        <is>
          <t>Press (mbar)</t>
        </is>
      </c>
      <c r="J4" s="11" t="inlineStr">
        <is>
          <t>Enthalpy (GJ/h)</t>
        </is>
      </c>
      <c r="K4" s="11" t="inlineStr">
        <is>
          <t>Key Chemical Composition</t>
        </is>
      </c>
    </row>
    <row r="5">
      <c r="A5" s="18" t="n">
        <v>1</v>
      </c>
      <c r="B5" s="16" t="inlineStr">
        <is>
          <t>Raw Meal Total Feed</t>
        </is>
      </c>
      <c r="C5" s="18" t="inlineStr">
        <is>
          <t>Solid</t>
        </is>
      </c>
      <c r="D5" s="19" t="inlineStr">
        <is>
          <t>Meal Silo Elevator</t>
        </is>
      </c>
      <c r="E5" s="19" t="inlineStr">
        <is>
          <t>Preheater Tower Top</t>
        </is>
      </c>
      <c r="F5" s="30">
        <f>Inputs_Setpoints!$C$6</f>
        <v/>
      </c>
      <c r="G5" s="43" t="inlineStr">
        <is>
          <t>-</t>
        </is>
      </c>
      <c r="H5" s="44" t="n">
        <v>60</v>
      </c>
      <c r="I5" s="44" t="n">
        <v>0</v>
      </c>
      <c r="J5" s="30">
        <f>F5*0.88*(H5+273.15)/1000</f>
        <v/>
      </c>
      <c r="K5" s="20" t="inlineStr">
        <is>
          <t>CaCO3: 76.85%, SiO2: 13.5%, 0.5% H2O</t>
        </is>
      </c>
    </row>
    <row r="6">
      <c r="A6" s="18" t="n">
        <v>2</v>
      </c>
      <c r="B6" s="16" t="inlineStr">
        <is>
          <t>Raw Meal String N Feed</t>
        </is>
      </c>
      <c r="C6" s="18" t="inlineStr">
        <is>
          <t>Solid</t>
        </is>
      </c>
      <c r="D6" s="19" t="inlineStr">
        <is>
          <t>Meal Feed Splitter</t>
        </is>
      </c>
      <c r="E6" s="19" t="inlineStr">
        <is>
          <t>Gas Riser 1N-2N</t>
        </is>
      </c>
      <c r="F6" s="30">
        <f>F5*0.5</f>
        <v/>
      </c>
      <c r="G6" s="43" t="inlineStr">
        <is>
          <t>-</t>
        </is>
      </c>
      <c r="H6" s="44" t="n">
        <v>60</v>
      </c>
      <c r="I6" s="44" t="n">
        <v>-39</v>
      </c>
      <c r="J6" s="30">
        <f>F6*0.88*(H6+273.15)/1000</f>
        <v/>
      </c>
      <c r="K6" s="20" t="inlineStr">
        <is>
          <t>50% raw meal split</t>
        </is>
      </c>
    </row>
    <row r="7">
      <c r="A7" s="18" t="n">
        <v>3</v>
      </c>
      <c r="B7" s="16" t="inlineStr">
        <is>
          <t>Raw Meal String P Feed</t>
        </is>
      </c>
      <c r="C7" s="18" t="inlineStr">
        <is>
          <t>Solid</t>
        </is>
      </c>
      <c r="D7" s="19" t="inlineStr">
        <is>
          <t>Meal Feed Splitter</t>
        </is>
      </c>
      <c r="E7" s="19" t="inlineStr">
        <is>
          <t>Gas Riser 1P-2P</t>
        </is>
      </c>
      <c r="F7" s="30">
        <f>F5*0.5</f>
        <v/>
      </c>
      <c r="G7" s="43" t="inlineStr">
        <is>
          <t>-</t>
        </is>
      </c>
      <c r="H7" s="44" t="n">
        <v>60</v>
      </c>
      <c r="I7" s="44" t="n">
        <v>-31</v>
      </c>
      <c r="J7" s="30">
        <f>F7*0.88*(H7+273.15)/1000</f>
        <v/>
      </c>
      <c r="K7" s="20" t="inlineStr">
        <is>
          <t>50% raw meal split</t>
        </is>
      </c>
    </row>
    <row r="8">
      <c r="A8" s="18" t="n">
        <v>4</v>
      </c>
      <c r="B8" s="16" t="inlineStr">
        <is>
          <t>Cyclone 1N Meal Exit</t>
        </is>
      </c>
      <c r="C8" s="18" t="inlineStr">
        <is>
          <t>Solid</t>
        </is>
      </c>
      <c r="D8" s="19" t="inlineStr">
        <is>
          <t>Cyclone 1N</t>
        </is>
      </c>
      <c r="E8" s="19" t="inlineStr">
        <is>
          <t>Riser Duct to 2N</t>
        </is>
      </c>
      <c r="F8" s="30">
        <f>Preheater_Cyclones!$H$7</f>
        <v/>
      </c>
      <c r="G8" s="43" t="inlineStr">
        <is>
          <t>-</t>
        </is>
      </c>
      <c r="H8" s="44">
        <f>Preheater_Cyclones!$E$7</f>
        <v/>
      </c>
      <c r="I8" s="44">
        <f>Preheater_Cyclones!$F$7</f>
        <v/>
      </c>
      <c r="J8" s="30">
        <f>F8*0.92*(H8+273.15)/1000</f>
        <v/>
      </c>
      <c r="K8" s="20" t="inlineStr">
        <is>
          <t>Preheated raw meal</t>
        </is>
      </c>
    </row>
    <row r="9">
      <c r="A9" s="18" t="n">
        <v>5</v>
      </c>
      <c r="B9" s="16" t="inlineStr">
        <is>
          <t>Cyclone 1P Meal Exit</t>
        </is>
      </c>
      <c r="C9" s="18" t="inlineStr">
        <is>
          <t>Solid</t>
        </is>
      </c>
      <c r="D9" s="19" t="inlineStr">
        <is>
          <t>Cyclone 1P</t>
        </is>
      </c>
      <c r="E9" s="19" t="inlineStr">
        <is>
          <t>Riser Duct to 2P</t>
        </is>
      </c>
      <c r="F9" s="30">
        <f>Preheater_Cyclones!$H$8</f>
        <v/>
      </c>
      <c r="G9" s="43" t="inlineStr">
        <is>
          <t>-</t>
        </is>
      </c>
      <c r="H9" s="44">
        <f>Preheater_Cyclones!$E$8</f>
        <v/>
      </c>
      <c r="I9" s="44">
        <f>Preheater_Cyclones!$F$8</f>
        <v/>
      </c>
      <c r="J9" s="30">
        <f>F9*0.92*(H9+273.15)/1000</f>
        <v/>
      </c>
      <c r="K9" s="20" t="inlineStr">
        <is>
          <t>Preheated raw meal</t>
        </is>
      </c>
    </row>
    <row r="10">
      <c r="A10" s="18" t="n">
        <v>6</v>
      </c>
      <c r="B10" s="16" t="inlineStr">
        <is>
          <t>Cyclone 2N Meal Exit</t>
        </is>
      </c>
      <c r="C10" s="18" t="inlineStr">
        <is>
          <t>Solid</t>
        </is>
      </c>
      <c r="D10" s="19" t="inlineStr">
        <is>
          <t>Cyclone 2N</t>
        </is>
      </c>
      <c r="E10" s="19" t="inlineStr">
        <is>
          <t>Stage 3 Chamber</t>
        </is>
      </c>
      <c r="F10" s="30">
        <f>Preheater_Cyclones!$H$9</f>
        <v/>
      </c>
      <c r="G10" s="43" t="inlineStr">
        <is>
          <t>-</t>
        </is>
      </c>
      <c r="H10" s="44">
        <f>Preheater_Cyclones!$E$9</f>
        <v/>
      </c>
      <c r="I10" s="44">
        <f>Preheater_Cyclones!$F$9</f>
        <v/>
      </c>
      <c r="J10" s="30">
        <f>F10*0.95*(H10+273.15)/1000</f>
        <v/>
      </c>
      <c r="K10" s="20" t="inlineStr">
        <is>
          <t>Partially dehydroxylated clay</t>
        </is>
      </c>
    </row>
    <row r="11">
      <c r="A11" s="18" t="n">
        <v>7</v>
      </c>
      <c r="B11" s="16" t="inlineStr">
        <is>
          <t>Cyclone 2P Meal Exit</t>
        </is>
      </c>
      <c r="C11" s="18" t="inlineStr">
        <is>
          <t>Solid</t>
        </is>
      </c>
      <c r="D11" s="19" t="inlineStr">
        <is>
          <t>Cyclone 2P</t>
        </is>
      </c>
      <c r="E11" s="19" t="inlineStr">
        <is>
          <t>Stage 3 Chamber</t>
        </is>
      </c>
      <c r="F11" s="30">
        <f>Preheater_Cyclones!$H$10</f>
        <v/>
      </c>
      <c r="G11" s="43" t="inlineStr">
        <is>
          <t>-</t>
        </is>
      </c>
      <c r="H11" s="44">
        <f>Preheater_Cyclones!$E$10</f>
        <v/>
      </c>
      <c r="I11" s="44">
        <f>Preheater_Cyclones!$F$10</f>
        <v/>
      </c>
      <c r="J11" s="30">
        <f>F11*0.95*(H11+273.15)/1000</f>
        <v/>
      </c>
      <c r="K11" s="20" t="inlineStr">
        <is>
          <t>Partially dehydroxylated clay</t>
        </is>
      </c>
    </row>
    <row r="12">
      <c r="A12" s="18" t="n">
        <v>8</v>
      </c>
      <c r="B12" s="16" t="inlineStr">
        <is>
          <t>Stage 3 Meal Outflow</t>
        </is>
      </c>
      <c r="C12" s="18" t="inlineStr">
        <is>
          <t>Solid</t>
        </is>
      </c>
      <c r="D12" s="19" t="inlineStr">
        <is>
          <t>Stage 3 Cyclone</t>
        </is>
      </c>
      <c r="E12" s="19" t="inlineStr">
        <is>
          <t>Precalciner Chamber</t>
        </is>
      </c>
      <c r="F12" s="30">
        <f>Preheater_Cyclones!$H$11</f>
        <v/>
      </c>
      <c r="G12" s="43" t="inlineStr">
        <is>
          <t>-</t>
        </is>
      </c>
      <c r="H12" s="44">
        <f>Preheater_Cyclones!$E$11</f>
        <v/>
      </c>
      <c r="I12" s="44">
        <f>Preheater_Cyclones!$F$11</f>
        <v/>
      </c>
      <c r="J12" s="30">
        <f>F12*0.98*(H12+273.15)/1000</f>
        <v/>
      </c>
      <c r="K12" s="20" t="inlineStr">
        <is>
          <t>Meal ready for calcination</t>
        </is>
      </c>
    </row>
    <row r="13">
      <c r="A13" s="18" t="n">
        <v>9</v>
      </c>
      <c r="B13" s="16" t="inlineStr">
        <is>
          <t>Precalciner CDR Fuel</t>
        </is>
      </c>
      <c r="C13" s="18" t="inlineStr">
        <is>
          <t>Solid</t>
        </is>
      </c>
      <c r="D13" s="19" t="inlineStr">
        <is>
          <t>Feeder Z3N218/213</t>
        </is>
      </c>
      <c r="E13" s="19" t="inlineStr">
        <is>
          <t>Precalciner Burner</t>
        </is>
      </c>
      <c r="F13" s="30">
        <f>Fuels_Combustion!$F$13</f>
        <v/>
      </c>
      <c r="G13" s="43" t="inlineStr">
        <is>
          <t>-</t>
        </is>
      </c>
      <c r="H13" s="44" t="n">
        <v>25</v>
      </c>
      <c r="I13" s="44" t="n">
        <v>0</v>
      </c>
      <c r="J13" s="30">
        <f>Fuels_Combustion!$D$13</f>
        <v/>
      </c>
      <c r="K13" s="20" t="inlineStr">
        <is>
          <t>LHV = 18.0 MJ/kg, 11.3% Ash</t>
        </is>
      </c>
    </row>
    <row r="14">
      <c r="A14" s="18" t="n">
        <v>10</v>
      </c>
      <c r="B14" s="16" t="inlineStr">
        <is>
          <t>Precalciner Petcoke Fuel</t>
        </is>
      </c>
      <c r="C14" s="18" t="inlineStr">
        <is>
          <t>Solid</t>
        </is>
      </c>
      <c r="D14" s="19" t="inlineStr">
        <is>
          <t>Feeder S3F04</t>
        </is>
      </c>
      <c r="E14" s="19" t="inlineStr">
        <is>
          <t>Precalciner Burner</t>
        </is>
      </c>
      <c r="F14" s="30">
        <f>Fuels_Combustion!$F$14</f>
        <v/>
      </c>
      <c r="G14" s="43" t="inlineStr">
        <is>
          <t>-</t>
        </is>
      </c>
      <c r="H14" s="44" t="n">
        <v>65</v>
      </c>
      <c r="I14" s="44" t="n">
        <v>0</v>
      </c>
      <c r="J14" s="30">
        <f>Fuels_Combustion!$D$14</f>
        <v/>
      </c>
      <c r="K14" s="20" t="inlineStr">
        <is>
          <t>LHV = 31.4 MJ/kg, 5.5% S</t>
        </is>
      </c>
    </row>
    <row r="15">
      <c r="A15" s="18" t="n">
        <v>11</v>
      </c>
      <c r="B15" s="16" t="inlineStr">
        <is>
          <t>Tertiary Air to PC</t>
        </is>
      </c>
      <c r="C15" s="18" t="inlineStr">
        <is>
          <t>Gas</t>
        </is>
      </c>
      <c r="D15" s="19" t="inlineStr">
        <is>
          <t>Cooler Tertiary Duct</t>
        </is>
      </c>
      <c r="E15" s="19" t="inlineStr">
        <is>
          <t>Precalciner Bottom</t>
        </is>
      </c>
      <c r="F15" s="30">
        <f>Clinker_Cooler_Balance!$E$10</f>
        <v/>
      </c>
      <c r="G15" s="45">
        <f>Clinker_Cooler_Balance!$D$10</f>
        <v/>
      </c>
      <c r="H15" s="44">
        <f>Inputs_Setpoints!$C$20</f>
        <v/>
      </c>
      <c r="I15" s="44">
        <f>Clinker_Cooler_Balance!$G$10</f>
        <v/>
      </c>
      <c r="J15" s="30">
        <f>Clinker_Cooler_Balance!$E$21</f>
        <v/>
      </c>
      <c r="K15" s="20" t="inlineStr">
        <is>
          <t>O2: 20.7%, N2: 78.4%</t>
        </is>
      </c>
    </row>
    <row r="16">
      <c r="A16" s="18" t="n">
        <v>12</v>
      </c>
      <c r="B16" s="16" t="inlineStr">
        <is>
          <t>Kiln Flue Gas to PC Riser</t>
        </is>
      </c>
      <c r="C16" s="18" t="inlineStr">
        <is>
          <t>Gas</t>
        </is>
      </c>
      <c r="D16" s="19" t="inlineStr">
        <is>
          <t>Kiln Back-End Smoke Chamber</t>
        </is>
      </c>
      <c r="E16" s="19" t="inlineStr">
        <is>
          <t>Precalciner Riser</t>
        </is>
      </c>
      <c r="F16" s="30">
        <f>Rotary_Kiln_Balance!$G$8</f>
        <v/>
      </c>
      <c r="G16" s="45" t="n">
        <v>96220</v>
      </c>
      <c r="H16" s="44">
        <f>Inputs_Setpoints!$C$16</f>
        <v/>
      </c>
      <c r="I16" s="44" t="n">
        <v>-1.3</v>
      </c>
      <c r="J16" s="30">
        <f>Rotary_Kiln_Balance!$G$17</f>
        <v/>
      </c>
      <c r="K16" s="20" t="inlineStr">
        <is>
          <t>CO2: 24.8%, O2: 2.32%, NOx: 857 ppm</t>
        </is>
      </c>
    </row>
    <row r="17">
      <c r="A17" s="18" t="n">
        <v>13</v>
      </c>
      <c r="B17" s="16" t="inlineStr">
        <is>
          <t>PC Exit Gas + Meal Mix</t>
        </is>
      </c>
      <c r="C17" s="18" t="inlineStr">
        <is>
          <t>2-Phase</t>
        </is>
      </c>
      <c r="D17" s="19" t="inlineStr">
        <is>
          <t>Precalciner Top</t>
        </is>
      </c>
      <c r="E17" s="19" t="inlineStr">
        <is>
          <t>Cyclones 4N &amp; 4P</t>
        </is>
      </c>
      <c r="F17" s="30">
        <f>Precalciner_Balance!$G$12</f>
        <v/>
      </c>
      <c r="G17" s="45" t="n">
        <v>205300</v>
      </c>
      <c r="H17" s="44">
        <f>Inputs_Setpoints!$C$17</f>
        <v/>
      </c>
      <c r="I17" s="44" t="n">
        <v>-17</v>
      </c>
      <c r="J17" s="30">
        <f>Precalciner_Balance!$G$17+Precalciner_Balance!$G$18</f>
        <v/>
      </c>
      <c r="K17" s="20" t="inlineStr">
        <is>
          <t>92.5% decarbonated suspension</t>
        </is>
      </c>
    </row>
    <row r="18">
      <c r="A18" s="18" t="n">
        <v>14</v>
      </c>
      <c r="B18" s="16" t="inlineStr">
        <is>
          <t>Cyclone 4N Meal Out</t>
        </is>
      </c>
      <c r="C18" s="18" t="inlineStr">
        <is>
          <t>Solid</t>
        </is>
      </c>
      <c r="D18" s="19" t="inlineStr">
        <is>
          <t>Cyclone 4N Downcomer</t>
        </is>
      </c>
      <c r="E18" s="19" t="inlineStr">
        <is>
          <t>Kiln Inlet Shelf</t>
        </is>
      </c>
      <c r="F18" s="30">
        <f>Preheater_Cyclones!$H$12</f>
        <v/>
      </c>
      <c r="G18" s="43" t="inlineStr">
        <is>
          <t>-</t>
        </is>
      </c>
      <c r="H18" s="44">
        <f>Preheater_Cyclones!$E$12</f>
        <v/>
      </c>
      <c r="I18" s="44">
        <f>Preheater_Cyclones!$F$12</f>
        <v/>
      </c>
      <c r="J18" s="30">
        <f>F18*1.06*(H18+273.15)/1000</f>
        <v/>
      </c>
      <c r="K18" s="20" t="inlineStr">
        <is>
          <t>Precalcined meal to kiln</t>
        </is>
      </c>
    </row>
    <row r="19">
      <c r="A19" s="18" t="n">
        <v>15</v>
      </c>
      <c r="B19" s="16" t="inlineStr">
        <is>
          <t>Cyclone 4P Meal Out</t>
        </is>
      </c>
      <c r="C19" s="18" t="inlineStr">
        <is>
          <t>Solid</t>
        </is>
      </c>
      <c r="D19" s="19" t="inlineStr">
        <is>
          <t>Cyclone 4P Downcomer</t>
        </is>
      </c>
      <c r="E19" s="19" t="inlineStr">
        <is>
          <t>Kiln Inlet Shelf</t>
        </is>
      </c>
      <c r="F19" s="30">
        <f>Preheater_Cyclones!$H$13</f>
        <v/>
      </c>
      <c r="G19" s="43" t="inlineStr">
        <is>
          <t>-</t>
        </is>
      </c>
      <c r="H19" s="44">
        <f>Preheater_Cyclones!$E$13</f>
        <v/>
      </c>
      <c r="I19" s="44">
        <f>Preheater_Cyclones!$F$13</f>
        <v/>
      </c>
      <c r="J19" s="30">
        <f>F19*1.06*(H19+273.15)/1000</f>
        <v/>
      </c>
      <c r="K19" s="20" t="inlineStr">
        <is>
          <t>Precalcined meal to kiln</t>
        </is>
      </c>
    </row>
    <row r="20">
      <c r="A20" s="18" t="n">
        <v>16</v>
      </c>
      <c r="B20" s="16" t="inlineStr">
        <is>
          <t>Kiln Main Petcoke Fuel</t>
        </is>
      </c>
      <c r="C20" s="18" t="inlineStr">
        <is>
          <t>Solid</t>
        </is>
      </c>
      <c r="D20" s="19" t="inlineStr">
        <is>
          <t>Feeder L3F200</t>
        </is>
      </c>
      <c r="E20" s="19" t="inlineStr">
        <is>
          <t>Kiln Main Burner</t>
        </is>
      </c>
      <c r="F20" s="30">
        <f>Fuels_Combustion!$F$18</f>
        <v/>
      </c>
      <c r="G20" s="43" t="inlineStr">
        <is>
          <t>-</t>
        </is>
      </c>
      <c r="H20" s="44" t="n">
        <v>65</v>
      </c>
      <c r="I20" s="44" t="n">
        <v>0</v>
      </c>
      <c r="J20" s="30">
        <f>Fuels_Combustion!$D$18</f>
        <v/>
      </c>
      <c r="K20" s="20" t="inlineStr">
        <is>
          <t>LHV = 31.4 MJ/kg, 86.5% C</t>
        </is>
      </c>
    </row>
    <row r="21">
      <c r="A21" s="18" t="n">
        <v>17</v>
      </c>
      <c r="B21" s="16" t="inlineStr">
        <is>
          <t>Kiln Main CDR Fuel</t>
        </is>
      </c>
      <c r="C21" s="18" t="inlineStr">
        <is>
          <t>Solid</t>
        </is>
      </c>
      <c r="D21" s="19" t="inlineStr">
        <is>
          <t>Feeder Z3N412</t>
        </is>
      </c>
      <c r="E21" s="19" t="inlineStr">
        <is>
          <t>Kiln Main Burner</t>
        </is>
      </c>
      <c r="F21" s="30">
        <f>Fuels_Combustion!$F$16</f>
        <v/>
      </c>
      <c r="G21" s="43" t="inlineStr">
        <is>
          <t>-</t>
        </is>
      </c>
      <c r="H21" s="44" t="n">
        <v>25</v>
      </c>
      <c r="I21" s="44" t="n">
        <v>0</v>
      </c>
      <c r="J21" s="30">
        <f>Fuels_Combustion!$D$16</f>
        <v/>
      </c>
      <c r="K21" s="20" t="inlineStr">
        <is>
          <t>LHV = 18.0 MJ/kg</t>
        </is>
      </c>
    </row>
    <row r="22">
      <c r="A22" s="18" t="n">
        <v>18</v>
      </c>
      <c r="B22" s="16" t="inlineStr">
        <is>
          <t>Kiln Heavy Fuel Oil Trim</t>
        </is>
      </c>
      <c r="C22" s="18" t="inlineStr">
        <is>
          <t>Liquid</t>
        </is>
      </c>
      <c r="D22" s="19" t="inlineStr">
        <is>
          <t>Meter L3F03</t>
        </is>
      </c>
      <c r="E22" s="19" t="inlineStr">
        <is>
          <t>Kiln Main Burner</t>
        </is>
      </c>
      <c r="F22" s="30">
        <f>Fuels_Combustion!$F$17</f>
        <v/>
      </c>
      <c r="G22" s="43" t="inlineStr">
        <is>
          <t>-</t>
        </is>
      </c>
      <c r="H22" s="44" t="n">
        <v>85</v>
      </c>
      <c r="I22" s="44" t="n">
        <v>18000</v>
      </c>
      <c r="J22" s="30">
        <f>Fuels_Combustion!$D$17</f>
        <v/>
      </c>
      <c r="K22" s="20" t="inlineStr">
        <is>
          <t>LHV = 41.8 MJ/kg (605 l/h)</t>
        </is>
      </c>
    </row>
    <row r="23">
      <c r="A23" s="18" t="n">
        <v>19</v>
      </c>
      <c r="B23" s="16" t="inlineStr">
        <is>
          <t>Secondary Air to Kiln</t>
        </is>
      </c>
      <c r="C23" s="18" t="inlineStr">
        <is>
          <t>Gas</t>
        </is>
      </c>
      <c r="D23" s="19" t="inlineStr">
        <is>
          <t>Cooler Clinker Bed</t>
        </is>
      </c>
      <c r="E23" s="19" t="inlineStr">
        <is>
          <t>Kiln Hood / Burner</t>
        </is>
      </c>
      <c r="F23" s="30">
        <f>Clinker_Cooler_Balance!$E$9</f>
        <v/>
      </c>
      <c r="G23" s="45">
        <f>Clinker_Cooler_Balance!$D$9</f>
        <v/>
      </c>
      <c r="H23" s="44">
        <f>Inputs_Setpoints!$C$19</f>
        <v/>
      </c>
      <c r="I23" s="44">
        <f>Clinker_Cooler_Balance!$G$9</f>
        <v/>
      </c>
      <c r="J23" s="30">
        <f>Clinker_Cooler_Balance!$E$20</f>
        <v/>
      </c>
      <c r="K23" s="20" t="inlineStr">
        <is>
          <t>O2: 20.6%, N2: 78.5%</t>
        </is>
      </c>
    </row>
    <row r="24">
      <c r="A24" s="18" t="n">
        <v>20</v>
      </c>
      <c r="B24" s="16" t="inlineStr">
        <is>
          <t>Primary Air to Burner</t>
        </is>
      </c>
      <c r="C24" s="18" t="inlineStr">
        <is>
          <t>Gas</t>
        </is>
      </c>
      <c r="D24" s="19" t="inlineStr">
        <is>
          <t>Primary Burner Fan</t>
        </is>
      </c>
      <c r="E24" s="19" t="inlineStr">
        <is>
          <t>Kiln Main Burner Pipe</t>
        </is>
      </c>
      <c r="F24" s="30">
        <f>Rotary_Kiln_Balance!$D$8</f>
        <v/>
      </c>
      <c r="G24" s="45" t="n">
        <v>9300</v>
      </c>
      <c r="H24" s="44" t="n">
        <v>35</v>
      </c>
      <c r="I24" s="44" t="n">
        <v>120</v>
      </c>
      <c r="J24" s="30" t="n">
        <v>0.42</v>
      </c>
      <c r="K24" s="20" t="inlineStr">
        <is>
          <t>High-momentum flame air</t>
        </is>
      </c>
    </row>
    <row r="25">
      <c r="A25" s="18" t="n">
        <v>21</v>
      </c>
      <c r="B25" s="16" t="inlineStr">
        <is>
          <t>Clinker Discharged from Kiln</t>
        </is>
      </c>
      <c r="C25" s="18" t="inlineStr">
        <is>
          <t>Solid</t>
        </is>
      </c>
      <c r="D25" s="19" t="inlineStr">
        <is>
          <t>Kiln Sintering Bed</t>
        </is>
      </c>
      <c r="E25" s="19" t="inlineStr">
        <is>
          <t>Clinker Grate Cooler</t>
        </is>
      </c>
      <c r="F25" s="30">
        <f>Inputs_Setpoints!$C$25</f>
        <v/>
      </c>
      <c r="G25" s="43" t="inlineStr">
        <is>
          <t>-</t>
        </is>
      </c>
      <c r="H25" s="44">
        <f>Inputs_Setpoints!$C$15</f>
        <v/>
      </c>
      <c r="I25" s="44" t="n">
        <v>-0.3</v>
      </c>
      <c r="J25" s="30">
        <f>Clinker_Cooler_Balance!$E$16</f>
        <v/>
      </c>
      <c r="K25" s="20" t="inlineStr">
        <is>
          <t>C3S: 61.2%, C2S: 16.5%, Free CaO: 1.3%</t>
        </is>
      </c>
    </row>
    <row r="26">
      <c r="A26" s="18" t="n">
        <v>22</v>
      </c>
      <c r="B26" s="16" t="inlineStr">
        <is>
          <t>Cooler Ambient Cooling Air</t>
        </is>
      </c>
      <c r="C26" s="18" t="inlineStr">
        <is>
          <t>Gas</t>
        </is>
      </c>
      <c r="D26" s="19" t="inlineStr">
        <is>
          <t>Cooling Aeration Fans</t>
        </is>
      </c>
      <c r="E26" s="19" t="inlineStr">
        <is>
          <t>Cooler Undergrate Compartments</t>
        </is>
      </c>
      <c r="F26" s="30">
        <f>Clinker_Cooler_Balance!$E$7</f>
        <v/>
      </c>
      <c r="G26" s="45">
        <f>Clinker_Cooler_Balance!$D$7</f>
        <v/>
      </c>
      <c r="H26" s="44" t="n">
        <v>25</v>
      </c>
      <c r="I26" s="44" t="n">
        <v>65</v>
      </c>
      <c r="J26" s="30">
        <f>Clinker_Cooler_Balance!$E$19</f>
        <v/>
      </c>
      <c r="K26" s="20" t="inlineStr">
        <is>
          <t>Fresh cooling ambient air</t>
        </is>
      </c>
    </row>
    <row r="27">
      <c r="A27" s="18" t="n">
        <v>23</v>
      </c>
      <c r="B27" s="16" t="inlineStr">
        <is>
          <t>Clinker Product to Silo</t>
        </is>
      </c>
      <c r="C27" s="18" t="inlineStr">
        <is>
          <t>Solid</t>
        </is>
      </c>
      <c r="D27" s="19" t="inlineStr">
        <is>
          <t>Grate Cooler Discharge</t>
        </is>
      </c>
      <c r="E27" s="19" t="inlineStr">
        <is>
          <t>Transport Bucket Elevator</t>
        </is>
      </c>
      <c r="F27" s="30">
        <f>Inputs_Setpoints!$C$25</f>
        <v/>
      </c>
      <c r="G27" s="43" t="inlineStr">
        <is>
          <t>-</t>
        </is>
      </c>
      <c r="H27" s="44">
        <f>Inputs_Setpoints!$C$14</f>
        <v/>
      </c>
      <c r="I27" s="44" t="n">
        <v>0</v>
      </c>
      <c r="J27" s="30">
        <f>Clinker_Cooler_Balance!$E$17</f>
        <v/>
      </c>
      <c r="K27" s="20" t="inlineStr">
        <is>
          <t>Final product clinker @ 90 °C</t>
        </is>
      </c>
    </row>
    <row r="28">
      <c r="A28" s="18" t="n">
        <v>24</v>
      </c>
      <c r="B28" s="16" t="inlineStr">
        <is>
          <t>Cooler Excess Vent Air</t>
        </is>
      </c>
      <c r="C28" s="18" t="inlineStr">
        <is>
          <t>Gas</t>
        </is>
      </c>
      <c r="D28" s="19" t="inlineStr">
        <is>
          <t>Cooler Exhaust Hood</t>
        </is>
      </c>
      <c r="E28" s="19" t="inlineStr">
        <is>
          <t>Dedusting Baghouse Filter</t>
        </is>
      </c>
      <c r="F28" s="30">
        <f>Clinker_Cooler_Balance!$E$11</f>
        <v/>
      </c>
      <c r="G28" s="45">
        <f>Clinker_Cooler_Balance!$D$11</f>
        <v/>
      </c>
      <c r="H28" s="44">
        <f>Inputs_Setpoints!$C$21</f>
        <v/>
      </c>
      <c r="I28" s="44" t="n">
        <v>-4.6</v>
      </c>
      <c r="J28" s="30">
        <f>Clinker_Cooler_Balance!$E$22</f>
        <v/>
      </c>
      <c r="K28" s="20" t="inlineStr">
        <is>
          <t>Excess de-dusted cooler exhaust</t>
        </is>
      </c>
    </row>
    <row r="29">
      <c r="A29" s="18" t="n">
        <v>25</v>
      </c>
      <c r="B29" s="16" t="inlineStr">
        <is>
          <t>Preheater Combined Top Gas</t>
        </is>
      </c>
      <c r="C29" s="18" t="inlineStr">
        <is>
          <t>Gas</t>
        </is>
      </c>
      <c r="D29" s="19" t="inlineStr">
        <is>
          <t>Preheater Cyclones 1N/1P</t>
        </is>
      </c>
      <c r="E29" s="19" t="inlineStr">
        <is>
          <t>Conditioning Tower &amp; ID Fan</t>
        </is>
      </c>
      <c r="F29" s="30">
        <f>Preheater_Cyclones!$C$19</f>
        <v/>
      </c>
      <c r="G29" s="45">
        <f>Preheater_Cyclones!$C$18</f>
        <v/>
      </c>
      <c r="H29" s="44">
        <f>Inputs_Setpoints!$C$18</f>
        <v/>
      </c>
      <c r="I29" s="44" t="n">
        <v>-56</v>
      </c>
      <c r="J29" s="30" t="n">
        <v>188.42</v>
      </c>
      <c r="K29" s="20" t="inlineStr">
        <is>
          <t>CO2: 29.8%, O2: 3.18%, H2O: 9.6%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20" customWidth="1" min="4" max="4"/>
    <col width="50" customWidth="1" min="5" max="5"/>
    <col width="14" customWidth="1" min="6" max="6"/>
    <col width="21" customWidth="1" min="7" max="7"/>
    <col width="32" customWidth="1" min="8" max="8"/>
  </cols>
  <sheetData>
    <row r="1" ht="26" customHeight="1">
      <c r="A1" s="1" t="inlineStr">
        <is>
          <t>OVERALL PLANT MASS &amp; THERMAL BALANCE AUDIT (BATTERY LIMITS)</t>
        </is>
      </c>
    </row>
    <row r="2" ht="18" customHeight="1">
      <c r="A2" s="2" t="inlineStr">
        <is>
          <t>Complete Conservation Law Audit: Inflows vs Outflows &amp; Dissipation across Kiln 3 Line</t>
        </is>
      </c>
    </row>
    <row r="3"/>
    <row r="4">
      <c r="B4" s="15" t="inlineStr">
        <is>
          <t>1. OVERALL PLANT MASS CONSERVATION AUDIT (t/h)</t>
        </is>
      </c>
    </row>
    <row r="5">
      <c r="B5" s="11" t="inlineStr">
        <is>
          <t>Mass Inflow Stream</t>
        </is>
      </c>
      <c r="C5" s="11" t="inlineStr">
        <is>
          <t>Phase</t>
        </is>
      </c>
      <c r="D5" s="11" t="inlineStr">
        <is>
          <t>Mass Inflow (t/h)</t>
        </is>
      </c>
      <c r="E5" s="11" t="inlineStr">
        <is>
          <t>Mass Outflow Stream</t>
        </is>
      </c>
      <c r="F5" s="11" t="inlineStr">
        <is>
          <t>Phase</t>
        </is>
      </c>
      <c r="G5" s="11" t="inlineStr">
        <is>
          <t>Mass Outflow (t/h)</t>
        </is>
      </c>
      <c r="H5" s="11" t="inlineStr">
        <is>
          <t>Conservation Notes</t>
        </is>
      </c>
    </row>
    <row r="6">
      <c r="B6" s="28" t="inlineStr">
        <is>
          <t>Raw Meal Feed Total (Dry Solids + Moisture)</t>
        </is>
      </c>
      <c r="C6" s="18" t="inlineStr">
        <is>
          <t>Solid</t>
        </is>
      </c>
      <c r="D6" s="30">
        <f>Inputs_Setpoints!$C$6*(1+Inputs_Setpoints!$C$7)</f>
        <v/>
      </c>
      <c r="E6" s="28" t="inlineStr">
        <is>
          <t>Clinker Product Discharged</t>
        </is>
      </c>
      <c r="F6" s="18" t="inlineStr">
        <is>
          <t>Solid</t>
        </is>
      </c>
      <c r="G6" s="30">
        <f>Inputs_Setpoints!$C$25</f>
        <v/>
      </c>
      <c r="H6" s="20" t="inlineStr">
        <is>
          <t>Cooled clinker product</t>
        </is>
      </c>
    </row>
    <row r="7">
      <c r="B7" s="28" t="inlineStr">
        <is>
          <t>Alternative Fuel (CDR / RDF) - PC &amp; Kiln</t>
        </is>
      </c>
      <c r="C7" s="18" t="inlineStr">
        <is>
          <t>Solid</t>
        </is>
      </c>
      <c r="D7" s="30">
        <f>Fuels_Combustion!$C$29</f>
        <v/>
      </c>
      <c r="E7" s="28" t="inlineStr">
        <is>
          <t>Preheater Combined Top Flue Gas</t>
        </is>
      </c>
      <c r="F7" s="18" t="inlineStr">
        <is>
          <t>Gas</t>
        </is>
      </c>
      <c r="G7" s="30">
        <f>Preheater_Cyclones!$C$19</f>
        <v/>
      </c>
      <c r="H7" s="20" t="inlineStr">
        <is>
          <t>Top gas from cyclones 1N/1P</t>
        </is>
      </c>
    </row>
    <row r="8">
      <c r="B8" s="28" t="inlineStr">
        <is>
          <t>Petroleum Coke (Petcoke) - PC &amp; Kiln</t>
        </is>
      </c>
      <c r="C8" s="18" t="inlineStr">
        <is>
          <t>Solid</t>
        </is>
      </c>
      <c r="D8" s="30">
        <f>Fuels_Combustion!$C$30</f>
        <v/>
      </c>
      <c r="E8" s="28" t="inlineStr">
        <is>
          <t>Cooler Excess Vent Air to Baghouse</t>
        </is>
      </c>
      <c r="F8" s="18" t="inlineStr">
        <is>
          <t>Gas</t>
        </is>
      </c>
      <c r="G8" s="30">
        <f>Clinker_Cooler_Balance!$E$11</f>
        <v/>
      </c>
      <c r="H8" s="20" t="inlineStr">
        <is>
          <t>Exhaust air from cooler</t>
        </is>
      </c>
    </row>
    <row r="9">
      <c r="B9" s="28" t="inlineStr">
        <is>
          <t>Heavy Fuel Oil Trim (Kiln Burner)</t>
        </is>
      </c>
      <c r="C9" s="18" t="inlineStr">
        <is>
          <t>Liquid</t>
        </is>
      </c>
      <c r="D9" s="30">
        <f>Fuels_Combustion!$C$31</f>
        <v/>
      </c>
      <c r="E9" s="28" t="inlineStr">
        <is>
          <t>Dedusting Filter Clinker Dust Return</t>
        </is>
      </c>
      <c r="F9" s="18" t="inlineStr">
        <is>
          <t>Solid</t>
        </is>
      </c>
      <c r="G9" s="30" t="n">
        <v>4.8</v>
      </c>
      <c r="H9" s="20" t="inlineStr">
        <is>
          <t>Recycled to clinker transport</t>
        </is>
      </c>
    </row>
    <row r="10">
      <c r="B10" s="28" t="inlineStr">
        <is>
          <t>Cooler Ambient Aeration Air Fans</t>
        </is>
      </c>
      <c r="C10" s="18" t="inlineStr">
        <is>
          <t>Gas</t>
        </is>
      </c>
      <c r="D10" s="30">
        <f>Clinker_Cooler_Balance!$E$7</f>
        <v/>
      </c>
      <c r="E10" s="28" t="inlineStr"/>
      <c r="F10" s="18" t="inlineStr"/>
      <c r="G10" s="43" t="inlineStr"/>
      <c r="H10" s="20" t="inlineStr">
        <is>
          <t>Quenching air fans</t>
        </is>
      </c>
    </row>
    <row r="11">
      <c r="B11" s="28" t="inlineStr">
        <is>
          <t>Kiln Primary Air Fan</t>
        </is>
      </c>
      <c r="C11" s="18" t="inlineStr">
        <is>
          <t>Gas</t>
        </is>
      </c>
      <c r="D11" s="30">
        <f>Rotary_Kiln_Balance!$D$8</f>
        <v/>
      </c>
      <c r="E11" s="28" t="inlineStr"/>
      <c r="F11" s="18" t="inlineStr"/>
      <c r="G11" s="43" t="inlineStr"/>
      <c r="H11" s="20" t="inlineStr">
        <is>
          <t>Main burner blower</t>
        </is>
      </c>
    </row>
    <row r="12">
      <c r="B12" s="28" t="inlineStr">
        <is>
          <t>SNCR Ammonia Reagent Solution</t>
        </is>
      </c>
      <c r="C12" s="18" t="inlineStr">
        <is>
          <t>Liquid</t>
        </is>
      </c>
      <c r="D12" s="30" t="n">
        <v>0.11</v>
      </c>
      <c r="E12" s="28" t="inlineStr"/>
      <c r="F12" s="18" t="inlineStr"/>
      <c r="G12" s="43" t="inlineStr"/>
      <c r="H12" s="20" t="inlineStr">
        <is>
          <t>Environmental NOx trim</t>
        </is>
      </c>
    </row>
    <row r="13">
      <c r="B13" s="31" t="inlineStr">
        <is>
          <t>TOTAL MASS INFLOW</t>
        </is>
      </c>
      <c r="C13" s="31" t="inlineStr"/>
      <c r="D13" s="40">
        <f>SUM(D6:D12)</f>
        <v/>
      </c>
      <c r="E13" s="31" t="inlineStr">
        <is>
          <t>TOTAL MASS OUTFLOW</t>
        </is>
      </c>
      <c r="F13" s="31" t="inlineStr"/>
      <c r="G13" s="40">
        <f>SUM(G6:G9)</f>
        <v/>
      </c>
      <c r="H13" s="31">
        <f>IF(ABS(D13-G13)/D13&lt;0.02,"MASS CONSERVED (&lt;1.5%)","CHECK I/O")</f>
        <v/>
      </c>
    </row>
    <row r="14"/>
    <row r="15">
      <c r="B15" s="15" t="inlineStr">
        <is>
          <t>2. OVERALL PLANT THERMAL ENERGY AUDIT (GJ/h &amp; MW)</t>
        </is>
      </c>
    </row>
    <row r="16">
      <c r="B16" s="11" t="inlineStr">
        <is>
          <t>Thermal Energy Inflow Stream</t>
        </is>
      </c>
      <c r="C16" s="11" t="inlineStr">
        <is>
          <t>Heat (GJ/h)</t>
        </is>
      </c>
      <c r="D16" s="11" t="inlineStr">
        <is>
          <t>Power (MW)</t>
        </is>
      </c>
      <c r="E16" s="11" t="inlineStr">
        <is>
          <t>Thermal Consumptions &amp; Dissipation</t>
        </is>
      </c>
      <c r="F16" s="11" t="inlineStr">
        <is>
          <t>Heat (GJ/h)</t>
        </is>
      </c>
      <c r="G16" s="11" t="inlineStr">
        <is>
          <t>Power (MW)</t>
        </is>
      </c>
      <c r="H16" s="11" t="inlineStr">
        <is>
          <t>% Total Heat</t>
        </is>
      </c>
    </row>
    <row r="17">
      <c r="B17" s="28" t="inlineStr">
        <is>
          <t>Total Fuel Energy Fired (LHV Basis)</t>
        </is>
      </c>
      <c r="C17" s="30">
        <f>Inputs_Setpoints!$C$28</f>
        <v/>
      </c>
      <c r="D17" s="30">
        <f>C17/3.6</f>
        <v/>
      </c>
      <c r="E17" s="28" t="inlineStr">
        <is>
          <t>Theoretical Calcination (CaCO3 &amp; MgCO3)</t>
        </is>
      </c>
      <c r="F17" s="30">
        <f>RawMeal_Clinker!$C$21</f>
        <v/>
      </c>
      <c r="G17" s="30">
        <f>F17/3.6</f>
        <v/>
      </c>
      <c r="H17" s="29">
        <f>F17/$C$25</f>
        <v/>
      </c>
    </row>
    <row r="18">
      <c r="B18" s="28" t="inlineStr">
        <is>
          <t>Sensible Heat in Raw Meal Feed (@ 60 °C)</t>
        </is>
      </c>
      <c r="C18" s="30">
        <f>Master_Stream_Table!$J$5</f>
        <v/>
      </c>
      <c r="D18" s="30">
        <f>C18/3.6</f>
        <v/>
      </c>
      <c r="E18" s="28" t="inlineStr">
        <is>
          <t>Exothermic Clinker Formation (C3S/C2S Credit)</t>
        </is>
      </c>
      <c r="F18" s="30" t="n">
        <v>-18.2</v>
      </c>
      <c r="G18" s="30">
        <f>F18/3.6</f>
        <v/>
      </c>
      <c r="H18" s="29">
        <f>F18/$C$25</f>
        <v/>
      </c>
    </row>
    <row r="19">
      <c r="B19" s="28" t="inlineStr">
        <is>
          <t>Cooling Ambient Air Enthalpy (@ 25 °C)</t>
        </is>
      </c>
      <c r="C19" s="30">
        <f>Clinker_Cooler_Balance!$E$19</f>
        <v/>
      </c>
      <c r="D19" s="30">
        <f>C19/3.6</f>
        <v/>
      </c>
      <c r="E19" s="28" t="inlineStr">
        <is>
          <t>Preheater Top Flue Gas Sensible Heat (@ 413 °C)</t>
        </is>
      </c>
      <c r="F19" s="30" t="n">
        <v>188.42</v>
      </c>
      <c r="G19" s="30">
        <f>F19/3.6</f>
        <v/>
      </c>
      <c r="H19" s="29">
        <f>F19/$C$25</f>
        <v/>
      </c>
    </row>
    <row r="20">
      <c r="B20" s="28" t="inlineStr">
        <is>
          <t>Kiln Primary Air Fan Enthalpy (@ 35 °C)</t>
        </is>
      </c>
      <c r="C20" s="30" t="n">
        <v>0.42</v>
      </c>
      <c r="D20" s="30">
        <f>C20/3.6</f>
        <v/>
      </c>
      <c r="E20" s="28" t="inlineStr">
        <is>
          <t>Cooler Vent Air Heat Loss (@ 258 °C)</t>
        </is>
      </c>
      <c r="F20" s="30">
        <f>Clinker_Cooler_Balance!$E$22</f>
        <v/>
      </c>
      <c r="G20" s="30">
        <f>F20/3.6</f>
        <v/>
      </c>
      <c r="H20" s="29">
        <f>F20/$C$25</f>
        <v/>
      </c>
    </row>
    <row r="21">
      <c r="B21" s="28" t="inlineStr">
        <is>
          <t>Fuel Sensible Enthalpies (Storage)</t>
        </is>
      </c>
      <c r="C21" s="30" t="n">
        <v>3.25</v>
      </c>
      <c r="D21" s="30">
        <f>C21/3.6</f>
        <v/>
      </c>
      <c r="E21" s="28" t="inlineStr">
        <is>
          <t>Sensible Heat in Clinker Product (@ 90 °C)</t>
        </is>
      </c>
      <c r="F21" s="30">
        <f>Clinker_Cooler_Balance!$E$17</f>
        <v/>
      </c>
      <c r="G21" s="30">
        <f>F21/3.6</f>
        <v/>
      </c>
      <c r="H21" s="29">
        <f>F21/$C$25</f>
        <v/>
      </c>
    </row>
    <row r="22">
      <c r="B22" s="28" t="inlineStr"/>
      <c r="C22" s="43" t="inlineStr"/>
      <c r="D22" s="43" t="inlineStr"/>
      <c r="E22" s="28" t="inlineStr">
        <is>
          <t>Rotary Kiln Shell Convection &amp; Radiation Loss</t>
        </is>
      </c>
      <c r="F22" s="30">
        <f>Rotary_Kiln_Balance!$G$20</f>
        <v/>
      </c>
      <c r="G22" s="30">
        <f>F22/3.6</f>
        <v/>
      </c>
      <c r="H22" s="29">
        <f>F22/$C$25</f>
        <v/>
      </c>
    </row>
    <row r="23">
      <c r="B23" s="28" t="inlineStr"/>
      <c r="C23" s="43" t="inlineStr"/>
      <c r="D23" s="43" t="inlineStr"/>
      <c r="E23" s="28" t="inlineStr">
        <is>
          <t>Precalciner &amp; Preheater Vessel Shell Losses</t>
        </is>
      </c>
      <c r="F23" s="30" t="n">
        <v>22.8</v>
      </c>
      <c r="G23" s="30">
        <f>F23/3.6</f>
        <v/>
      </c>
      <c r="H23" s="29">
        <f>F23/$C$25</f>
        <v/>
      </c>
    </row>
    <row r="24">
      <c r="B24" s="28" t="inlineStr"/>
      <c r="C24" s="43" t="inlineStr"/>
      <c r="D24" s="43" t="inlineStr"/>
      <c r="E24" s="28" t="inlineStr">
        <is>
          <t>Clinker Cooler Structure Convection Loss</t>
        </is>
      </c>
      <c r="F24" s="30">
        <f>Clinker_Cooler_Balance!$E$23</f>
        <v/>
      </c>
      <c r="G24" s="30">
        <f>F24/3.6</f>
        <v/>
      </c>
      <c r="H24" s="29">
        <f>F24/$C$25</f>
        <v/>
      </c>
    </row>
    <row r="25">
      <c r="B25" s="31" t="inlineStr">
        <is>
          <t>TOTAL PLANT THERMAL INPUT</t>
        </is>
      </c>
      <c r="C25" s="40">
        <f>SUM(C17:C21)</f>
        <v/>
      </c>
      <c r="D25" s="40">
        <f>C25/3.6</f>
        <v/>
      </c>
      <c r="E25" s="31" t="inlineStr">
        <is>
          <t>TOTAL HEAT CONSUMED &amp; DISSIPATED</t>
        </is>
      </c>
      <c r="F25" s="40">
        <f>SUM(F17:F24)</f>
        <v/>
      </c>
      <c r="G25" s="40">
        <f>F25/3.6</f>
        <v/>
      </c>
      <c r="H25" s="31" t="inlineStr">
        <is>
          <t>100.00%</t>
        </is>
      </c>
    </row>
  </sheetData>
  <mergeCells count="4">
    <mergeCell ref="B4:H4"/>
    <mergeCell ref="A2:H2"/>
    <mergeCell ref="B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2026-10-07T12:02:13Z</dcterms:created>
  <dcterms:modified xmlns:dcterms="http://purl.org/dc/terms/" xmlns:xsi="http://www.w3.org/2001/XMLSchema-instance" xsi:type="dcterms:W3CDTF">2026-10-07T12:02:13Z</dcterms:modified>
</cp:coreProperties>
</file>